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مشترک فروش\آقای عرب\گزارشات\"/>
    </mc:Choice>
  </mc:AlternateContent>
  <bookViews>
    <workbookView minimized="1" xWindow="0" yWindow="0" windowWidth="15360" windowHeight="7155" tabRatio="896"/>
  </bookViews>
  <sheets>
    <sheet name="گرمسار" sheetId="9" r:id="rId1"/>
    <sheet name="خمین" sheetId="8" r:id="rId2"/>
    <sheet name="ورامین" sheetId="7" r:id="rId3"/>
    <sheet name="CRM(سمنان)" sheetId="1" r:id="rId4"/>
    <sheet name="تنظیمات" sheetId="6" r:id="rId5"/>
  </sheets>
  <definedNames>
    <definedName name="_xlnm._FilterDatabase" localSheetId="3" hidden="1">'CRM(سمنان)'!$A$4:$K$20</definedName>
    <definedName name="_xlnm._FilterDatabase" localSheetId="1" hidden="1">خمین!$A$4:$K$20</definedName>
    <definedName name="_xlnm._FilterDatabase" localSheetId="0" hidden="1">گرمسار!$A$4:$K$20</definedName>
    <definedName name="_xlnm._FilterDatabase" localSheetId="2" hidden="1">ورامین!$A$4:$K$21</definedName>
    <definedName name="Customers" localSheetId="1">خمین!$A$4:$A$4</definedName>
    <definedName name="Customers" localSheetId="0">گرمسار!$A$4:$A$19</definedName>
    <definedName name="Customers" localSheetId="2">ورامین!$A$4:$A$20</definedName>
    <definedName name="Customers">'CRM(سمنان)'!$A$4:$A$19</definedName>
    <definedName name="days_since_last_1">تنظیمات!$E$4</definedName>
    <definedName name="days_since_last_2">تنظیمات!$E$5</definedName>
    <definedName name="days_since_last_3">تنظیمات!$E$6</definedName>
    <definedName name="days_until_next_1">تنظیمات!$E$9</definedName>
    <definedName name="days_until_next_2">تنظیمات!$E$10</definedName>
    <definedName name="days_until_next_3">تنظیمات!$E$11</definedName>
    <definedName name="lead_source">OFFSET(تنظیمات!$C$1,1,0,SUMPRODUCT(MAX((تنظیمات!$C:$C&lt;&gt;"")*(ROW(تنظیمات!$C:$C))))-1,1)</definedName>
    <definedName name="lead_status">OFFSET(تنظیمات!$A$1,1,0,SUMPRODUCT(MAX((تنظیمات!$A:$A&lt;&gt;"")*(ROW(تنظیمات!$A:$A))))-1,1)</definedName>
    <definedName name="_xlnm.Print_Area" localSheetId="3">'CRM(سمنان)'!$A$1:$K$19</definedName>
    <definedName name="_xlnm.Print_Area" localSheetId="1">خمین!$A$1:$K$19</definedName>
    <definedName name="_xlnm.Print_Area" localSheetId="0">گرمسار!$A$1:$K$19</definedName>
    <definedName name="_xlnm.Print_Area" localSheetId="2">ورامین!$A$1:$K$20</definedName>
    <definedName name="_xlnm.Print_Titles" localSheetId="3">'CRM(سمنان)'!$1:$4</definedName>
    <definedName name="_xlnm.Print_Titles" localSheetId="1">خمین!$1:$4</definedName>
    <definedName name="_xlnm.Print_Titles" localSheetId="0">گرمسار!$1:$4</definedName>
    <definedName name="_xlnm.Print_Titles" localSheetId="2">ورامین!$1:$4</definedName>
    <definedName name="valuevx">42.314159</definedName>
    <definedName name="vertex42_copyright" hidden="1">"© 2013-2020 Vertex42 LLC"</definedName>
    <definedName name="vertex42_id" hidden="1">"CRM-template.xlsx"</definedName>
    <definedName name="vertex42_title" hidden="1">"CRM Template"</definedName>
  </definedNames>
  <calcPr calcId="152511"/>
</workbook>
</file>

<file path=xl/calcChain.xml><?xml version="1.0" encoding="utf-8"?>
<calcChain xmlns="http://schemas.openxmlformats.org/spreadsheetml/2006/main">
  <c r="M16" i="9" l="1"/>
  <c r="M11" i="9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M16" i="8"/>
  <c r="M11" i="8"/>
  <c r="M16" i="7"/>
  <c r="M11" i="7"/>
  <c r="M16" i="1" l="1"/>
  <c r="M11" i="1"/>
  <c r="B5" i="1"/>
  <c r="B6" i="1"/>
  <c r="B7" i="1"/>
  <c r="B39" i="1"/>
  <c r="B40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8" i="1" l="1"/>
  <c r="B9" i="1"/>
  <c r="B10" i="1"/>
  <c r="B11" i="1"/>
  <c r="B12" i="1"/>
  <c r="B13" i="1"/>
  <c r="B14" i="1"/>
  <c r="B15" i="1"/>
  <c r="B16" i="1"/>
  <c r="B17" i="1"/>
  <c r="B18" i="1"/>
  <c r="E11" i="6" l="1"/>
  <c r="E6" i="6"/>
</calcChain>
</file>

<file path=xl/sharedStrings.xml><?xml version="1.0" encoding="utf-8"?>
<sst xmlns="http://schemas.openxmlformats.org/spreadsheetml/2006/main" count="909" uniqueCount="299">
  <si>
    <t>8i</t>
  </si>
  <si>
    <t>قالب CRM</t>
  </si>
  <si>
    <t>مشتری ها</t>
  </si>
  <si>
    <t>شرکت</t>
  </si>
  <si>
    <t>تلفن</t>
  </si>
  <si>
    <t>یادداشت ها</t>
  </si>
  <si>
    <t>منبع سرنخ</t>
  </si>
  <si>
    <t>وضعیت سرنخ</t>
  </si>
  <si>
    <t>تماس بعدی</t>
  </si>
  <si>
    <t>اقدام بعدی</t>
  </si>
  <si>
    <t>آخرین تماس</t>
  </si>
  <si>
    <t>فروش تخمینی</t>
  </si>
  <si>
    <t>سمت</t>
  </si>
  <si>
    <t>قالب تاریخ</t>
  </si>
  <si>
    <t>روز ها تا اقدام بعدی (&gt;=)</t>
  </si>
  <si>
    <t>روز ها از آخرین تماس (&lt;=)</t>
  </si>
  <si>
    <t>وضعیت سرنخ و منبع سرنخ را بروزرسانی کنید تا محتوای لیست کشویی در شیت CRM را تغییر دهید.</t>
  </si>
  <si>
    <t>مقادیر در ستون های سبز و زرد را ویرایش کنید تا تنظیماتی که برای قالب بندی شرطی ستون های آخرین تماس و تماس بعدی در شیت CRM وجود دارد تغییر کند.</t>
  </si>
  <si>
    <t>ستون  سرنخ  سرد/گرم  برای قالب بندی شرطی استفاده می شوند.اگر این موارد را تغییر دهید، باید قوانین قالب بندی شرطی را نیز تغییر دهید.</t>
  </si>
  <si>
    <t xml:space="preserve">دستورالعمل ها </t>
  </si>
  <si>
    <t>تلاش برای تماس</t>
  </si>
  <si>
    <t>بی تمایل</t>
  </si>
  <si>
    <t>تماس در آینده</t>
  </si>
  <si>
    <t>تماس گرفته شد</t>
  </si>
  <si>
    <t>مشتاق</t>
  </si>
  <si>
    <t>سرنخ بی ارزش</t>
  </si>
  <si>
    <t>سرنخ از دست رفته</t>
  </si>
  <si>
    <t>تماس برقرار نشده</t>
  </si>
  <si>
    <t>واجد شرایط از قبل</t>
  </si>
  <si>
    <t>علاقمند</t>
  </si>
  <si>
    <t>خریداری کرده اند</t>
  </si>
  <si>
    <t>[ محمد عرب ]</t>
  </si>
  <si>
    <t>انجمن صنفی</t>
  </si>
  <si>
    <t>دیتا گذشته</t>
  </si>
  <si>
    <t xml:space="preserve">معرفی همکار </t>
  </si>
  <si>
    <t>آشنایی مستقیم</t>
  </si>
  <si>
    <t>رجوع مستقیم</t>
  </si>
  <si>
    <t xml:space="preserve">آقای عبدی </t>
  </si>
  <si>
    <t>آقای حسینی</t>
  </si>
  <si>
    <t xml:space="preserve">آقای لگزایی </t>
  </si>
  <si>
    <t xml:space="preserve">آقای بختیاری فر </t>
  </si>
  <si>
    <t xml:space="preserve">آقای وحدی </t>
  </si>
  <si>
    <t>آقای خلیلی</t>
  </si>
  <si>
    <t>آقای زرگر</t>
  </si>
  <si>
    <t>آقای امیر بنی اسدی</t>
  </si>
  <si>
    <t xml:space="preserve">آقای سارانی </t>
  </si>
  <si>
    <t>آقای پارسا</t>
  </si>
  <si>
    <t>آقای شفیعی</t>
  </si>
  <si>
    <t>آقای صمدیان</t>
  </si>
  <si>
    <t>آقای موسوی</t>
  </si>
  <si>
    <t xml:space="preserve">آقای مداح </t>
  </si>
  <si>
    <t xml:space="preserve">آقای نوشادی </t>
  </si>
  <si>
    <t>آقای عربیان</t>
  </si>
  <si>
    <t>الفخانی</t>
  </si>
  <si>
    <t xml:space="preserve">نعمتی </t>
  </si>
  <si>
    <t xml:space="preserve">ادیب </t>
  </si>
  <si>
    <t>رحیمی</t>
  </si>
  <si>
    <t>اردشیر نوری</t>
  </si>
  <si>
    <t>مرادی</t>
  </si>
  <si>
    <t>احسان</t>
  </si>
  <si>
    <t>بهنام نوری</t>
  </si>
  <si>
    <t>حسن یوسفی</t>
  </si>
  <si>
    <t>عباس سلیمایی</t>
  </si>
  <si>
    <t>ریاحی</t>
  </si>
  <si>
    <t>لطفی</t>
  </si>
  <si>
    <t>قاسم کمیزی</t>
  </si>
  <si>
    <t>حسین کمیزی</t>
  </si>
  <si>
    <t>شفیعی</t>
  </si>
  <si>
    <t>آذرنیا</t>
  </si>
  <si>
    <t>شوقانی</t>
  </si>
  <si>
    <t>گچکار</t>
  </si>
  <si>
    <t>سازنده</t>
  </si>
  <si>
    <t>مدیر پروژه مسکن ملی</t>
  </si>
  <si>
    <t>مصالح فروش</t>
  </si>
  <si>
    <t>رییس صنف سفیدکاران</t>
  </si>
  <si>
    <t>گچکار(از اعضای صنف)</t>
  </si>
  <si>
    <t>1404/05/15</t>
  </si>
  <si>
    <t>1404/05/25</t>
  </si>
  <si>
    <t>-</t>
  </si>
  <si>
    <t>یدالله حسین آبادی</t>
  </si>
  <si>
    <t>1000 کیسه</t>
  </si>
  <si>
    <t>200 کیسه</t>
  </si>
  <si>
    <t>500 کیسه</t>
  </si>
  <si>
    <t>2000 کیسه</t>
  </si>
  <si>
    <t>600 کیسه</t>
  </si>
  <si>
    <t>1404/05/20</t>
  </si>
  <si>
    <t>1404/05/21</t>
  </si>
  <si>
    <t>1404/05/22</t>
  </si>
  <si>
    <t>1404/05/28</t>
  </si>
  <si>
    <t>1404/05/29</t>
  </si>
  <si>
    <t>1404/06/15</t>
  </si>
  <si>
    <t>به علت تغییر شغل دیگر زیاد در حوزه ساخت و ساز مشغول نیستند</t>
  </si>
  <si>
    <t>پروژه ایشان در مراحل ابتدایی میباشد برای سه الی چهار ماه آینده آماده همکاری میباشند</t>
  </si>
  <si>
    <t>10/000 کیسه</t>
  </si>
  <si>
    <t>مهندس طاهری</t>
  </si>
  <si>
    <t>سازه البرز</t>
  </si>
  <si>
    <t>هنوز پروژه ای شروع نکردن</t>
  </si>
  <si>
    <t>ابراهیم زاهدی فرد</t>
  </si>
  <si>
    <t>1404/07/01</t>
  </si>
  <si>
    <t>1404/05/26</t>
  </si>
  <si>
    <t>جهت سفارش باید نظر نهایی پیمانکار را بپرسند اطلاع میدهند</t>
  </si>
  <si>
    <t>به هیج وجه تمایل به همکاری ندارند</t>
  </si>
  <si>
    <t>1404/06/20</t>
  </si>
  <si>
    <t>1404/05/14</t>
  </si>
  <si>
    <t>1404/05/19</t>
  </si>
  <si>
    <t>1404/05/18</t>
  </si>
  <si>
    <t>1404/05/30</t>
  </si>
  <si>
    <t>1404/06/07</t>
  </si>
  <si>
    <t>مهدي</t>
  </si>
  <si>
    <t>1404/05/27</t>
  </si>
  <si>
    <t>حسینی</t>
  </si>
  <si>
    <t>مشغول انجام پروژه بود قرار شد بعدا با من تماس بگیرد</t>
  </si>
  <si>
    <t>قرار شد برای ملاقات با من تماس بگیرند</t>
  </si>
  <si>
    <t>قرار شد پس از تست نمونه گچ و بررسی کاتالوگ ها جهت همکاری در آینده با بنده تماس بگیرند</t>
  </si>
  <si>
    <t>هنوز نمونه ها را تست نکردند قرار شد پس از تست با بنده تماس بگیرند</t>
  </si>
  <si>
    <t xml:space="preserve">کارفرما برای تک پروژه شخصی ساز بود </t>
  </si>
  <si>
    <t>نمونه ها تست کرده بودند و نتیجه مثبت بود و جهت همکاری در آینده با بنده تماس میگیرند</t>
  </si>
  <si>
    <t>درخواست قیمت و نوع شرایط را جهت سفارش یک کامیون گچ جویا شد(قیمت گچ آهوان خدمت ایشان ارسال شد)</t>
  </si>
  <si>
    <t>جهت معرفی برند و سفارش برای پروژه آینده قول همکاری دادند</t>
  </si>
  <si>
    <t>شماره واگذار شده بود</t>
  </si>
  <si>
    <t>با آقای شفیعی بصورت گروهی کار میکنند</t>
  </si>
  <si>
    <t>تماس را پاسخگو نبودند</t>
  </si>
  <si>
    <t xml:space="preserve">پروژه ایشان تا 2 ماه دیگر به مرحله سفید کاری میرسد </t>
  </si>
  <si>
    <t>قرار شد در چند روز آینده جهت خرید یک نیسان گچ هماهنگی لازم انجام شود</t>
  </si>
  <si>
    <t>از برند دیگری خریداری کردند</t>
  </si>
  <si>
    <t>محمودی</t>
  </si>
  <si>
    <t>1404/06/03</t>
  </si>
  <si>
    <t>1404/06/10</t>
  </si>
  <si>
    <t>حسین صادقی</t>
  </si>
  <si>
    <t>ابراهیمی</t>
  </si>
  <si>
    <t>اخلاقی</t>
  </si>
  <si>
    <t>حسن اسماعیلی</t>
  </si>
  <si>
    <t>واحدی</t>
  </si>
  <si>
    <t>بزرگوار</t>
  </si>
  <si>
    <t>مهدی جعفری</t>
  </si>
  <si>
    <t>اربابی</t>
  </si>
  <si>
    <t>شجاعی</t>
  </si>
  <si>
    <t>واحدی پور</t>
  </si>
  <si>
    <t>غلامعلی نظری</t>
  </si>
  <si>
    <t>نوری</t>
  </si>
  <si>
    <t>1404/06/04</t>
  </si>
  <si>
    <t xml:space="preserve">همکار آقای حسینی بودند </t>
  </si>
  <si>
    <t>ملاقات حضوری انجام شد قول همکاری در آینده گرفته شد</t>
  </si>
  <si>
    <t>برای فردا 1404/06/05 قرار شد برای پرزنت حضوری خدمت ایشان برسم</t>
  </si>
  <si>
    <t>1401/06/05</t>
  </si>
  <si>
    <t>ایشان بر سر پروژه واقع در شهمیرزاد مشغول بودند قرار شد حضورا خدمت ایشان بروم</t>
  </si>
  <si>
    <t>1404/06/05</t>
  </si>
  <si>
    <t>ایشان بر سر پروژه واقع در مهدیشهر مشغول بودند قرار شد حضورا خدمت ایشان بروم</t>
  </si>
  <si>
    <t>پاسخگو نبودند</t>
  </si>
  <si>
    <t>ایشان بر سر پروژه واقع در فیروز کوه مشغول بودند قرار شد سمنان تشریف آوردند با بنده تماس بگیرند</t>
  </si>
  <si>
    <t>بیرون تشریف داشتند به محض اینکه رفتند بر سر پروژه با بنده تماس میگیرند</t>
  </si>
  <si>
    <t>فعلا پروژه ای ندارند به محض شروع با بنده تماس خواهند گرفت</t>
  </si>
  <si>
    <t>مجید فخاریان</t>
  </si>
  <si>
    <t>صد عدد کیسه گچ (80 آهوان 30 و 20 میکرونیزه 25) بصورت نقد خریداری کردند</t>
  </si>
  <si>
    <t>آقای فخاریان را به عنوان خریدار معرفی نمودند</t>
  </si>
  <si>
    <t>سلیمان یاقدی</t>
  </si>
  <si>
    <t>فرقه دان(خمین)</t>
  </si>
  <si>
    <t>نیما انصاری(محلات)</t>
  </si>
  <si>
    <t>حیدری(خمین)</t>
  </si>
  <si>
    <t>غلامی1(خمین)</t>
  </si>
  <si>
    <t>ولی ساعدی(خمین)</t>
  </si>
  <si>
    <t>مهدی امانی(خمین)</t>
  </si>
  <si>
    <t>صالحی(خمین)</t>
  </si>
  <si>
    <t>سعید صالحی(خمین)</t>
  </si>
  <si>
    <t>نصرتی(خمین)</t>
  </si>
  <si>
    <t>حسینی(خمین)</t>
  </si>
  <si>
    <t>ترابی(خمین)</t>
  </si>
  <si>
    <t>آزاد(خمین)</t>
  </si>
  <si>
    <t>شرفی(خمین)</t>
  </si>
  <si>
    <t>حجت صالحی(خمین)</t>
  </si>
  <si>
    <t>بهزاد غلامی(خمین)</t>
  </si>
  <si>
    <t>سهراب غلامی(خمین)</t>
  </si>
  <si>
    <t>داوود غلامی(خمین)</t>
  </si>
  <si>
    <t>مجید جعفری(خمین)</t>
  </si>
  <si>
    <t>عرفانی(خمین)</t>
  </si>
  <si>
    <t>فرج صالحی(خمین)</t>
  </si>
  <si>
    <t>غلامرضا باقری(خمین)</t>
  </si>
  <si>
    <t>جواد موسوی(خمین)</t>
  </si>
  <si>
    <t>سعید باقری(خمین)</t>
  </si>
  <si>
    <t>امیر صالحی(خمین)</t>
  </si>
  <si>
    <t>رضا غلامی(خمین)</t>
  </si>
  <si>
    <t>کریمی(خمین)</t>
  </si>
  <si>
    <t>شکری(خمین)</t>
  </si>
  <si>
    <t>ذلقی(خمین)</t>
  </si>
  <si>
    <t>محمد باقری(خمین)</t>
  </si>
  <si>
    <t>هادی اسدی(خمین)</t>
  </si>
  <si>
    <t>عباس اسدی(خمین)</t>
  </si>
  <si>
    <t>حسین عبدی(خمین)</t>
  </si>
  <si>
    <t>سامان(خمین)</t>
  </si>
  <si>
    <t>مهدی بهلوند(خمین)</t>
  </si>
  <si>
    <t>صفایی(خمین)</t>
  </si>
  <si>
    <t>میثم حائری(خمین)</t>
  </si>
  <si>
    <t>مسلم(خمین)</t>
  </si>
  <si>
    <t>سید اسماعیل محمودی(خمین)</t>
  </si>
  <si>
    <t>بهرامی(خمین)</t>
  </si>
  <si>
    <t>طاهری(خمین)</t>
  </si>
  <si>
    <t>بهزاد غلامی 2(خمین)</t>
  </si>
  <si>
    <t>حامد غلامی 1(خمین)</t>
  </si>
  <si>
    <t>بیات(خمین)</t>
  </si>
  <si>
    <t>جلال باقری(خمین)</t>
  </si>
  <si>
    <t>رفیعی(خمین)</t>
  </si>
  <si>
    <t>رجبی(خمین)</t>
  </si>
  <si>
    <t>حامد غلامی 2(خمین)</t>
  </si>
  <si>
    <t>بهشتی(خمین)</t>
  </si>
  <si>
    <t>حامد غلامی 3(خمین)</t>
  </si>
  <si>
    <t>افتاده(خمین)</t>
  </si>
  <si>
    <t>ملکی(خمین)</t>
  </si>
  <si>
    <t>جلیل نورزهی</t>
  </si>
  <si>
    <t>یونس نورزهی</t>
  </si>
  <si>
    <t>تاتاری</t>
  </si>
  <si>
    <t>اوستا غلام</t>
  </si>
  <si>
    <t>کیوانی</t>
  </si>
  <si>
    <t>مهدی قربان زاده</t>
  </si>
  <si>
    <t>احمدی</t>
  </si>
  <si>
    <t>نعمت تاجیک</t>
  </si>
  <si>
    <t>باقری</t>
  </si>
  <si>
    <t>جواد تیمار</t>
  </si>
  <si>
    <t>کمیزی</t>
  </si>
  <si>
    <t>ابوذر</t>
  </si>
  <si>
    <t>محمد قهرمانلو</t>
  </si>
  <si>
    <t>احمد تاب</t>
  </si>
  <si>
    <t>علیزاده</t>
  </si>
  <si>
    <t>ازبک</t>
  </si>
  <si>
    <t>نوروزی</t>
  </si>
  <si>
    <t>علی نورزهی</t>
  </si>
  <si>
    <t>علی زارعی</t>
  </si>
  <si>
    <t>نصیر نورزهی</t>
  </si>
  <si>
    <t>احمد نورزهی</t>
  </si>
  <si>
    <t>محمود تاب</t>
  </si>
  <si>
    <t>خصلتی</t>
  </si>
  <si>
    <t>ناصر علی کوزه</t>
  </si>
  <si>
    <t>بلند</t>
  </si>
  <si>
    <t>احمد قهرمانلو</t>
  </si>
  <si>
    <t>کمیزی 2</t>
  </si>
  <si>
    <t>شاه حسینی</t>
  </si>
  <si>
    <t xml:space="preserve">علیپور </t>
  </si>
  <si>
    <t>قندالی</t>
  </si>
  <si>
    <t>ناظریه</t>
  </si>
  <si>
    <t>حمزه قزلو</t>
  </si>
  <si>
    <t>راکب</t>
  </si>
  <si>
    <t>رئیس اتحادیه</t>
  </si>
  <si>
    <t>محمد شیرکوند</t>
  </si>
  <si>
    <t>علی قشقاقی</t>
  </si>
  <si>
    <t>بختیاری</t>
  </si>
  <si>
    <t>علیرضا خرم</t>
  </si>
  <si>
    <t>عبدالرضا کنگرلو</t>
  </si>
  <si>
    <t>حاجی باقری</t>
  </si>
  <si>
    <t>دارندی</t>
  </si>
  <si>
    <t>شیرازی</t>
  </si>
  <si>
    <t>کریمی</t>
  </si>
  <si>
    <t>نودهی</t>
  </si>
  <si>
    <t>منطقی</t>
  </si>
  <si>
    <t>بابک خانی</t>
  </si>
  <si>
    <t xml:space="preserve">قاضی </t>
  </si>
  <si>
    <t>1404/08/25</t>
  </si>
  <si>
    <t>هنوز نمونه تهیه نکدن</t>
  </si>
  <si>
    <t>نمونه تست کردن مورد تایید بود پروژه حال حاضر کارفذما از قبل گچ تهیه کرده ولی برای پروژه آتی قول حتمی دادند</t>
  </si>
  <si>
    <t>میرزا رضا نبی</t>
  </si>
  <si>
    <t>عزت الله نبی</t>
  </si>
  <si>
    <t>علی محمد چراغی</t>
  </si>
  <si>
    <t>حمید مجتهدی</t>
  </si>
  <si>
    <t>علی اکبر خسرو شیرین</t>
  </si>
  <si>
    <t>سیف الله کمیزی</t>
  </si>
  <si>
    <t>رحمت الله کمیزی</t>
  </si>
  <si>
    <t>رضا آبخو</t>
  </si>
  <si>
    <t>رمضان آبخو</t>
  </si>
  <si>
    <t>علی کمیزی</t>
  </si>
  <si>
    <t>امیر خسروی</t>
  </si>
  <si>
    <t>عباس بیانی</t>
  </si>
  <si>
    <t>محمد آبخو</t>
  </si>
  <si>
    <t>هادی کمیزی</t>
  </si>
  <si>
    <t>مسعود احمدی</t>
  </si>
  <si>
    <t>محسن ساریخانی</t>
  </si>
  <si>
    <t>جواد مظاهری</t>
  </si>
  <si>
    <t>محمد عابدی</t>
  </si>
  <si>
    <t>ابولفضل کمیزی</t>
  </si>
  <si>
    <t>مسعود مظاهری</t>
  </si>
  <si>
    <t>رضا کمیزی</t>
  </si>
  <si>
    <t>مجید مرادی</t>
  </si>
  <si>
    <t>مهدی حسینی</t>
  </si>
  <si>
    <t>وحید مظاهری</t>
  </si>
  <si>
    <t>ناصر اکبری</t>
  </si>
  <si>
    <t>مصطفی کمیزی</t>
  </si>
  <si>
    <t>حسن کمیزی</t>
  </si>
  <si>
    <t>محمد کمیزی</t>
  </si>
  <si>
    <t>محمد سلیمانی</t>
  </si>
  <si>
    <t>علی عبدی</t>
  </si>
  <si>
    <t>علی مهر آبادی</t>
  </si>
  <si>
    <t>یوسف علی آبخو</t>
  </si>
  <si>
    <t>مهدی کمیزی</t>
  </si>
  <si>
    <t>امیر حسین آبخو</t>
  </si>
  <si>
    <t>برای پروژه بعد قول همکاری دادند</t>
  </si>
  <si>
    <t>نمونه تست کردن مورد تایید بود برای پروژه آتی قول حتمی دادند</t>
  </si>
  <si>
    <t>نمونه هنوز نگرفته قرار شد امروز تهیه کنه بعدا نتیجه پیگیری میشود</t>
  </si>
  <si>
    <t>قرار شد جهت دیدار با بنده هماهنگ کنند</t>
  </si>
  <si>
    <t>سید محمد حسینی</t>
  </si>
  <si>
    <t>کچوئی</t>
  </si>
  <si>
    <t>سعید نوروزی</t>
  </si>
  <si>
    <t>1404/09/05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</si>
</sst>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$&quot;* #,##0.00_);_(&quot;$&quot;* \(#,##0.00\);_(&quot;$&quot;* &quot;-&quot;??_);_(@_)"/>
    <numFmt numFmtId="165" formatCode="m/d/yy;@"/>
    <numFmt numFmtId="166" formatCode="_(&quot;$&quot;* #,##0_);_(&quot;$&quot;* \(#,##0\);_(&quot;$&quot;* &quot;-&quot;??_);_(@_)"/>
  </numFmts>
  <fonts count="15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name val="Trebuchet MS"/>
      <family val="2"/>
    </font>
    <font>
      <sz val="10"/>
      <name val="Tahoma"/>
      <family val="2"/>
    </font>
    <font>
      <u/>
      <sz val="10"/>
      <color indexed="12"/>
      <name val="Tahoma"/>
      <family val="2"/>
    </font>
    <font>
      <b/>
      <sz val="10"/>
      <name val="Tahoma"/>
      <family val="2"/>
    </font>
    <font>
      <sz val="10"/>
      <color rgb="FF000000"/>
      <name val="Tahoma"/>
      <family val="2"/>
    </font>
    <font>
      <b/>
      <sz val="10"/>
      <color theme="4"/>
      <name val="Tahoma"/>
      <family val="2"/>
    </font>
    <font>
      <b/>
      <sz val="10"/>
      <color rgb="FF234372"/>
      <name val="Tahoma"/>
      <family val="2"/>
    </font>
    <font>
      <sz val="10"/>
      <color rgb="FF234372"/>
      <name val="Tahoma"/>
      <family val="2"/>
    </font>
    <font>
      <b/>
      <sz val="10"/>
      <color indexed="9"/>
      <name val="Tahoma"/>
      <family val="2"/>
    </font>
    <font>
      <sz val="10"/>
      <name val="Tahoma"/>
    </font>
    <font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5" fillId="0" borderId="0" xfId="0" applyFont="1"/>
    <xf numFmtId="0" fontId="6" fillId="0" borderId="0" xfId="2" applyFont="1" applyAlignment="1" applyProtection="1"/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165" fontId="5" fillId="0" borderId="1" xfId="0" applyNumberFormat="1" applyFont="1" applyBorder="1" applyAlignment="1">
      <alignment horizontal="center" wrapText="1"/>
    </xf>
    <xf numFmtId="165" fontId="5" fillId="8" borderId="1" xfId="0" applyNumberFormat="1" applyFont="1" applyFill="1" applyBorder="1" applyAlignment="1">
      <alignment horizontal="center" wrapText="1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readingOrder="2"/>
    </xf>
    <xf numFmtId="0" fontId="5" fillId="0" borderId="0" xfId="0" applyFont="1" applyFill="1"/>
    <xf numFmtId="0" fontId="8" fillId="0" borderId="0" xfId="0" applyFont="1" applyFill="1" applyAlignment="1">
      <alignment horizontal="left" vertical="center" indent="1" readingOrder="1"/>
    </xf>
    <xf numFmtId="0" fontId="5" fillId="0" borderId="0" xfId="0" applyFont="1" applyFill="1" applyAlignment="1">
      <alignment horizontal="left"/>
    </xf>
    <xf numFmtId="0" fontId="12" fillId="5" borderId="0" xfId="0" applyFont="1" applyFill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0" fontId="5" fillId="7" borderId="0" xfId="0" applyFont="1" applyFill="1" applyAlignment="1">
      <alignment horizontal="left" readingOrder="2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 vertical="center" readingOrder="2"/>
    </xf>
    <xf numFmtId="0" fontId="5" fillId="0" borderId="0" xfId="0" applyFont="1" applyFill="1" applyAlignment="1">
      <alignment horizontal="left" vertical="center" readingOrder="2"/>
    </xf>
    <xf numFmtId="0" fontId="5" fillId="0" borderId="0" xfId="0" applyFont="1" applyFill="1" applyAlignment="1">
      <alignment horizontal="left" readingOrder="2"/>
    </xf>
    <xf numFmtId="0" fontId="5" fillId="0" borderId="0" xfId="0" applyFont="1" applyAlignment="1">
      <alignment horizontal="left" readingOrder="2"/>
    </xf>
    <xf numFmtId="0" fontId="7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 readingOrder="1"/>
    </xf>
    <xf numFmtId="0" fontId="12" fillId="5" borderId="0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left" vertical="center" readingOrder="2"/>
    </xf>
    <xf numFmtId="0" fontId="11" fillId="7" borderId="0" xfId="0" applyFont="1" applyFill="1" applyAlignment="1">
      <alignment horizontal="left" vertical="center" readingOrder="2"/>
    </xf>
    <xf numFmtId="0" fontId="9" fillId="0" borderId="0" xfId="0" applyFont="1" applyAlignment="1">
      <alignment horizontal="center"/>
    </xf>
    <xf numFmtId="0" fontId="0" fillId="9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165" fontId="5" fillId="10" borderId="1" xfId="0" applyNumberFormat="1" applyFont="1" applyFill="1" applyBorder="1" applyAlignment="1">
      <alignment horizontal="center" wrapText="1"/>
    </xf>
    <xf numFmtId="165" fontId="5" fillId="11" borderId="1" xfId="0" applyNumberFormat="1" applyFont="1" applyFill="1" applyBorder="1" applyAlignment="1">
      <alignment horizontal="center" wrapText="1"/>
    </xf>
    <xf numFmtId="166" fontId="5" fillId="0" borderId="1" xfId="1" applyNumberFormat="1" applyFont="1" applyBorder="1" applyAlignment="1">
      <alignment horizontal="center" wrapText="1" readingOrder="2"/>
    </xf>
    <xf numFmtId="0" fontId="12" fillId="5" borderId="0" xfId="0" applyFont="1" applyFill="1" applyBorder="1" applyAlignment="1">
      <alignment horizontal="center" vertical="top" wrapText="1" readingOrder="2"/>
    </xf>
    <xf numFmtId="14" fontId="5" fillId="12" borderId="1" xfId="0" applyNumberFormat="1" applyFont="1" applyFill="1" applyBorder="1" applyAlignment="1">
      <alignment horizontal="center" wrapText="1"/>
    </xf>
    <xf numFmtId="14" fontId="5" fillId="6" borderId="1" xfId="0" applyNumberFormat="1" applyFont="1" applyFill="1" applyBorder="1" applyAlignment="1">
      <alignment horizontal="center" wrapText="1"/>
    </xf>
    <xf numFmtId="165" fontId="5" fillId="13" borderId="1" xfId="0" applyNumberFormat="1" applyFont="1" applyFill="1" applyBorder="1" applyAlignment="1">
      <alignment horizontal="center" wrapText="1"/>
    </xf>
    <xf numFmtId="165" fontId="5" fillId="14" borderId="1" xfId="0" applyNumberFormat="1" applyFont="1" applyFill="1" applyBorder="1" applyAlignment="1">
      <alignment horizontal="center" wrapText="1"/>
    </xf>
    <xf numFmtId="165" fontId="5" fillId="15" borderId="1" xfId="0" applyNumberFormat="1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166" fontId="13" fillId="0" borderId="1" xfId="1" applyNumberFormat="1" applyFont="1" applyBorder="1" applyAlignment="1">
      <alignment horizontal="center" wrapText="1" readingOrder="2"/>
    </xf>
    <xf numFmtId="14" fontId="13" fillId="0" borderId="1" xfId="0" applyNumberFormat="1" applyFont="1" applyBorder="1" applyAlignment="1">
      <alignment horizontal="center" wrapText="1"/>
    </xf>
    <xf numFmtId="165" fontId="13" fillId="0" borderId="1" xfId="0" applyNumberFormat="1" applyFont="1" applyBorder="1" applyAlignment="1">
      <alignment horizontal="center" wrapText="1"/>
    </xf>
    <xf numFmtId="0" fontId="14" fillId="9" borderId="3" xfId="0" applyFont="1" applyFill="1" applyBorder="1" applyAlignment="1">
      <alignment horizontal="center"/>
    </xf>
    <xf numFmtId="0" fontId="14" fillId="9" borderId="4" xfId="0" applyFont="1" applyFill="1" applyBorder="1" applyAlignment="1">
      <alignment horizontal="center"/>
    </xf>
    <xf numFmtId="0" fontId="13" fillId="0" borderId="5" xfId="0" applyFont="1" applyBorder="1" applyAlignment="1">
      <alignment horizontal="center" wrapText="1"/>
    </xf>
    <xf numFmtId="0" fontId="13" fillId="0" borderId="1" xfId="0" applyNumberFormat="1" applyFont="1" applyBorder="1" applyAlignment="1">
      <alignment horizontal="center" wrapText="1"/>
    </xf>
    <xf numFmtId="0" fontId="13" fillId="0" borderId="5" xfId="0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3" fillId="9" borderId="1" xfId="0" applyNumberFormat="1" applyFont="1" applyFill="1" applyBorder="1" applyAlignment="1">
      <alignment horizontal="center" wrapText="1"/>
    </xf>
    <xf numFmtId="165" fontId="13" fillId="11" borderId="1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 customBuiltin="1"/>
  </cellStyles>
  <dxfs count="1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65" formatCode="m/d/yy;@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65" formatCode="m/d/yy;@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66" formatCode="_(&quot;$&quot;* #,##0_);_(&quot;$&quot;* \(#,##0\);_(&quot;$&quot;* &quot;-&quot;??_);_(@_)"/>
      <alignment horizontal="center" vertical="bottom" textRotation="0" wrapText="1" indent="0" justifyLastLine="0" shrinkToFit="0" readingOrder="2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Tahoma"/>
        <scheme val="none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</dxf>
    <dxf>
      <fill>
        <patternFill>
          <bgColor rgb="FF66CCFF"/>
        </patternFill>
      </fill>
    </dxf>
    <dxf>
      <fill>
        <patternFill>
          <bgColor rgb="FFFFCC99"/>
        </patternFill>
      </fill>
    </dxf>
    <dxf>
      <fill>
        <patternFill>
          <bgColor rgb="FFFF9999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65" formatCode="m/d/yy;@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65" formatCode="m/d/yy;@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66" formatCode="_(&quot;$&quot;* #,##0_);_(&quot;$&quot;* \(#,##0\);_(&quot;$&quot;* &quot;-&quot;??_);_(@_)"/>
      <alignment horizontal="center" vertical="bottom" textRotation="0" wrapText="1" indent="0" justifyLastLine="0" shrinkToFit="0" readingOrder="2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Tahoma"/>
        <scheme val="none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</dxf>
    <dxf>
      <fill>
        <patternFill>
          <bgColor rgb="FF66CCFF"/>
        </patternFill>
      </fill>
    </dxf>
    <dxf>
      <fill>
        <patternFill>
          <bgColor rgb="FFFFCC99"/>
        </patternFill>
      </fill>
    </dxf>
    <dxf>
      <fill>
        <patternFill>
          <bgColor rgb="FFFF9999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65" formatCode="m/d/yy;@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65" formatCode="m/d/yy;@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66" formatCode="_(&quot;$&quot;* #,##0_);_(&quot;$&quot;* \(#,##0\);_(&quot;$&quot;* &quot;-&quot;??_);_(@_)"/>
      <alignment horizontal="center" vertical="bottom" textRotation="0" wrapText="1" indent="0" justifyLastLine="0" shrinkToFit="0" readingOrder="2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Tahoma"/>
        <scheme val="none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</dxf>
    <dxf>
      <fill>
        <patternFill>
          <bgColor rgb="FF66CCFF"/>
        </patternFill>
      </fill>
    </dxf>
    <dxf>
      <fill>
        <patternFill>
          <bgColor rgb="FFFFCC99"/>
        </patternFill>
      </fill>
    </dxf>
    <dxf>
      <fill>
        <patternFill>
          <bgColor rgb="FFFF9999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65" formatCode="m/d/yy;@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65" formatCode="m/d/yy;@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166" formatCode="_(&quot;$&quot;* #,##0_);_(&quot;$&quot;* \(#,##0\);_(&quot;$&quot;* &quot;-&quot;??_);_(@_)"/>
      <alignment horizontal="center" vertical="bottom" textRotation="0" wrapText="1" indent="0" justifyLastLine="0" shrinkToFit="0" readingOrder="2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Tahoma"/>
        <scheme val="none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</dxf>
    <dxf>
      <fill>
        <patternFill>
          <bgColor rgb="FF66CCFF"/>
        </patternFill>
      </fill>
    </dxf>
    <dxf>
      <fill>
        <patternFill>
          <bgColor rgb="FFFFCC99"/>
        </patternFill>
      </fill>
    </dxf>
    <dxf>
      <fill>
        <patternFill>
          <bgColor rgb="FFFF9999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4F4F4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CCCCFF"/>
      <color rgb="FF33CCFF"/>
      <color rgb="FFFF9999"/>
      <color rgb="FF66CCFF"/>
      <color rgb="FFFFCC99"/>
      <color rgb="FFFF7C8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162873</xdr:colOff>
      <xdr:row>0</xdr:row>
      <xdr:rowOff>26958</xdr:rowOff>
    </xdr:from>
    <xdr:to>
      <xdr:col>12</xdr:col>
      <xdr:colOff>754416</xdr:colOff>
      <xdr:row>3</xdr:row>
      <xdr:rowOff>260588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45798" y="26958"/>
          <a:ext cx="591543" cy="919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162873</xdr:colOff>
      <xdr:row>0</xdr:row>
      <xdr:rowOff>26958</xdr:rowOff>
    </xdr:from>
    <xdr:to>
      <xdr:col>12</xdr:col>
      <xdr:colOff>754416</xdr:colOff>
      <xdr:row>3</xdr:row>
      <xdr:rowOff>260588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45798" y="26958"/>
          <a:ext cx="591543" cy="9194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162873</xdr:colOff>
      <xdr:row>0</xdr:row>
      <xdr:rowOff>26958</xdr:rowOff>
    </xdr:from>
    <xdr:to>
      <xdr:col>12</xdr:col>
      <xdr:colOff>754416</xdr:colOff>
      <xdr:row>3</xdr:row>
      <xdr:rowOff>260588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45798" y="26958"/>
          <a:ext cx="591543" cy="9194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162873</xdr:colOff>
      <xdr:row>0</xdr:row>
      <xdr:rowOff>26958</xdr:rowOff>
    </xdr:from>
    <xdr:to>
      <xdr:col>12</xdr:col>
      <xdr:colOff>754416</xdr:colOff>
      <xdr:row>3</xdr:row>
      <xdr:rowOff>260588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7519" y="26958"/>
          <a:ext cx="591543" cy="7548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4" name="Table135" displayName="Table135" ref="A4:K111" totalsRowShown="0" headerRowDxfId="156" dataDxfId="155">
  <autoFilter ref="A4:K111"/>
  <tableColumns count="11">
    <tableColumn id="1" name="مشتری ها" dataDxfId="154"/>
    <tableColumn id="2" name="شرکت" dataDxfId="153"/>
    <tableColumn id="3" name="سمت" dataDxfId="152"/>
    <tableColumn id="4" name="تلفن" dataDxfId="151"/>
    <tableColumn id="5" name="فروش تخمینی" dataDxfId="150" dataCellStyle="Currency"/>
    <tableColumn id="6" name="آخرین تماس" dataDxfId="149"/>
    <tableColumn id="7" name="اقدام بعدی" dataDxfId="148"/>
    <tableColumn id="8" name="تماس بعدی" dataDxfId="147"/>
    <tableColumn id="9" name="وضعیت سرنخ" dataDxfId="146"/>
    <tableColumn id="10" name="منبع سرنخ" dataDxfId="145"/>
    <tableColumn id="11" name="یادداشت ها" dataDxfId="144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3" name="Table134" displayName="Table134" ref="A4:K111" totalsRowShown="0" headerRowDxfId="107" dataDxfId="106">
  <autoFilter ref="A4:K111"/>
  <tableColumns count="11">
    <tableColumn id="1" name="مشتری ها" dataDxfId="105"/>
    <tableColumn id="2" name="شرکت" dataDxfId="104">
      <calculatedColumnFormula>IFERROR(VLOOKUP($A5,#REF!,2,FALSE),"-")</calculatedColumnFormula>
    </tableColumn>
    <tableColumn id="3" name="سمت" dataDxfId="103"/>
    <tableColumn id="4" name="تلفن" dataDxfId="102"/>
    <tableColumn id="5" name="فروش تخمینی" dataDxfId="101" dataCellStyle="Currency"/>
    <tableColumn id="6" name="آخرین تماس" dataDxfId="100"/>
    <tableColumn id="7" name="اقدام بعدی" dataDxfId="99"/>
    <tableColumn id="8" name="تماس بعدی" dataDxfId="98"/>
    <tableColumn id="9" name="وضعیت سرنخ" dataDxfId="97"/>
    <tableColumn id="10" name="منبع سرنخ" dataDxfId="96"/>
    <tableColumn id="11" name="یادداشت ها" dataDxfId="95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2" name="Table13" displayName="Table13" ref="A4:K112" totalsRowShown="0" headerRowDxfId="61" dataDxfId="60">
  <autoFilter ref="A4:K112"/>
  <tableColumns count="11">
    <tableColumn id="1" name="مشتری ها" dataDxfId="59"/>
    <tableColumn id="2" name="شرکت" dataDxfId="58"/>
    <tableColumn id="3" name="سمت" dataDxfId="57"/>
    <tableColumn id="4" name="تلفن" dataDxfId="56"/>
    <tableColumn id="5" name="فروش تخمینی" dataDxfId="55" dataCellStyle="Currency"/>
    <tableColumn id="6" name="آخرین تماس" dataDxfId="54"/>
    <tableColumn id="7" name="اقدام بعدی" dataDxfId="53"/>
    <tableColumn id="8" name="تماس بعدی" dataDxfId="52"/>
    <tableColumn id="9" name="وضعیت سرنخ" dataDxfId="51"/>
    <tableColumn id="10" name="منبع سرنخ" dataDxfId="50"/>
    <tableColumn id="11" name="یادداشت ها" dataDxfId="49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4:K111" totalsRowShown="0" headerRowDxfId="12" dataDxfId="11">
  <autoFilter ref="A4:K111"/>
  <tableColumns count="11">
    <tableColumn id="1" name="مشتری ها" dataDxfId="10"/>
    <tableColumn id="2" name="شرکت" dataDxfId="9">
      <calculatedColumnFormula>IFERROR(VLOOKUP($A5,#REF!,2,FALSE),"-")</calculatedColumnFormula>
    </tableColumn>
    <tableColumn id="3" name="سمت" dataDxfId="8">
      <calculatedColumnFormula>IFERROR(VLOOKUP($A5,#REF!,3,FALSE),"-")</calculatedColumnFormula>
    </tableColumn>
    <tableColumn id="4" name="تلفن" dataDxfId="7">
      <calculatedColumnFormula>IFERROR(VLOOKUP($A5,#REF!,4,FALSE),"-")</calculatedColumnFormula>
    </tableColumn>
    <tableColumn id="5" name="فروش تخمینی" dataDxfId="6" dataCellStyle="Currency"/>
    <tableColumn id="6" name="آخرین تماس" dataDxfId="5"/>
    <tableColumn id="7" name="اقدام بعدی" dataDxfId="4"/>
    <tableColumn id="8" name="تماس بعدی" dataDxfId="3"/>
    <tableColumn id="9" name="وضعیت سرنخ" dataDxfId="2"/>
    <tableColumn id="10" name="منبع سرنخ" dataDxfId="1"/>
    <tableColumn id="11" name="یادداشت ها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 - TRUE BLUE(purple) CLASSIC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26AA2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N111"/>
  <sheetViews>
    <sheetView showGridLines="0" showRowColHeaders="0" tabSelected="1" zoomScaleNormal="100" zoomScaleSheetLayoutView="85" workbookViewId="0">
      <pane ySplit="4" topLeftCell="A14" activePane="bottomLeft" state="frozen"/>
      <selection pane="bottomLeft" activeCell="A38" sqref="A38"/>
    </sheetView>
  </sheetViews>
  <sheetFormatPr defaultColWidth="9.140625" defaultRowHeight="12.75" x14ac:dyDescent="0.2"/>
  <cols>
    <col min="1" max="1" width="16" style="8" customWidth="1"/>
    <col min="2" max="2" width="9.7109375" style="1" customWidth="1"/>
    <col min="3" max="3" width="16.5703125" style="8" customWidth="1"/>
    <col min="4" max="4" width="12.7109375" style="8" customWidth="1"/>
    <col min="5" max="5" width="13.28515625" style="9" customWidth="1"/>
    <col min="6" max="6" width="11.140625" style="1" customWidth="1"/>
    <col min="7" max="7" width="11.42578125" style="1" customWidth="1"/>
    <col min="8" max="8" width="10.7109375" style="1" customWidth="1"/>
    <col min="9" max="9" width="19.5703125" style="1" customWidth="1"/>
    <col min="10" max="10" width="16.5703125" style="1" customWidth="1"/>
    <col min="11" max="11" width="92.5703125" style="1" customWidth="1"/>
    <col min="12" max="12" width="6.42578125" style="1" customWidth="1"/>
    <col min="13" max="13" width="24.85546875" style="1" customWidth="1"/>
    <col min="14" max="14" width="19.140625" style="1" customWidth="1"/>
    <col min="15" max="16384" width="9.140625" style="1"/>
  </cols>
  <sheetData>
    <row r="1" spans="1:14" x14ac:dyDescent="0.2">
      <c r="A1" s="33" t="s">
        <v>1</v>
      </c>
      <c r="D1" s="8" t="s">
        <v>0</v>
      </c>
    </row>
    <row r="2" spans="1:14" x14ac:dyDescent="0.2">
      <c r="A2" s="8" t="s">
        <v>31</v>
      </c>
      <c r="M2" s="12"/>
    </row>
    <row r="3" spans="1:14" ht="28.5" customHeight="1" x14ac:dyDescent="0.2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N3" s="2"/>
    </row>
    <row r="4" spans="1:14" ht="25.5" x14ac:dyDescent="0.2">
      <c r="A4" s="13" t="s">
        <v>2</v>
      </c>
      <c r="B4" s="13" t="s">
        <v>3</v>
      </c>
      <c r="C4" s="13" t="s">
        <v>12</v>
      </c>
      <c r="D4" s="13" t="s">
        <v>4</v>
      </c>
      <c r="E4" s="39" t="s">
        <v>11</v>
      </c>
      <c r="F4" s="13" t="s">
        <v>10</v>
      </c>
      <c r="G4" s="13" t="s">
        <v>9</v>
      </c>
      <c r="H4" s="13" t="s">
        <v>8</v>
      </c>
      <c r="I4" s="13" t="s">
        <v>7</v>
      </c>
      <c r="J4" s="13" t="s">
        <v>6</v>
      </c>
      <c r="K4" s="13" t="s">
        <v>5</v>
      </c>
    </row>
    <row r="5" spans="1:14" s="7" customFormat="1" x14ac:dyDescent="0.2">
      <c r="A5" t="s">
        <v>207</v>
      </c>
      <c r="B5" s="54"/>
      <c r="C5" s="34" t="s">
        <v>70</v>
      </c>
      <c r="D5">
        <v>9396322613</v>
      </c>
      <c r="E5" s="38"/>
      <c r="F5" s="40"/>
      <c r="G5" s="5"/>
      <c r="H5" s="4"/>
      <c r="I5" s="6" t="s">
        <v>29</v>
      </c>
      <c r="J5" s="17"/>
      <c r="K5" s="3"/>
    </row>
    <row r="6" spans="1:14" s="7" customFormat="1" ht="13.5" customHeight="1" x14ac:dyDescent="0.2">
      <c r="A6" t="s">
        <v>208</v>
      </c>
      <c r="B6" s="45"/>
      <c r="C6" s="34" t="s">
        <v>70</v>
      </c>
      <c r="D6">
        <v>9305859080</v>
      </c>
      <c r="E6" s="38"/>
      <c r="F6" s="41" t="s">
        <v>254</v>
      </c>
      <c r="G6" s="5"/>
      <c r="H6" s="4"/>
      <c r="I6" s="36" t="s">
        <v>24</v>
      </c>
      <c r="J6" s="17"/>
      <c r="K6" s="3" t="s">
        <v>255</v>
      </c>
      <c r="M6" s="30" t="s">
        <v>13</v>
      </c>
    </row>
    <row r="7" spans="1:14" s="7" customFormat="1" ht="13.5" customHeight="1" x14ac:dyDescent="0.2">
      <c r="A7" t="s">
        <v>129</v>
      </c>
      <c r="B7" s="45"/>
      <c r="C7" s="34" t="s">
        <v>70</v>
      </c>
      <c r="D7">
        <v>9127324850</v>
      </c>
      <c r="E7" s="38"/>
      <c r="F7" s="4" t="s">
        <v>254</v>
      </c>
      <c r="G7" s="5"/>
      <c r="H7" s="4"/>
      <c r="I7" s="37" t="s">
        <v>24</v>
      </c>
      <c r="J7" s="17"/>
      <c r="K7" s="3" t="s">
        <v>256</v>
      </c>
      <c r="M7" s="18"/>
    </row>
    <row r="8" spans="1:14" s="7" customFormat="1" x14ac:dyDescent="0.2">
      <c r="A8" t="s">
        <v>209</v>
      </c>
      <c r="B8" s="45"/>
      <c r="C8" s="35" t="s">
        <v>240</v>
      </c>
      <c r="D8">
        <v>9124323261</v>
      </c>
      <c r="E8" s="38"/>
      <c r="F8" s="4" t="s">
        <v>254</v>
      </c>
      <c r="G8" s="5"/>
      <c r="H8" s="4"/>
      <c r="I8" s="44" t="s">
        <v>29</v>
      </c>
      <c r="J8" s="17"/>
      <c r="K8" s="3" t="s">
        <v>294</v>
      </c>
      <c r="M8" s="23" t="s">
        <v>15</v>
      </c>
    </row>
    <row r="9" spans="1:14" s="7" customFormat="1" x14ac:dyDescent="0.2">
      <c r="A9" t="s">
        <v>210</v>
      </c>
      <c r="B9" s="45"/>
      <c r="C9" s="34" t="s">
        <v>70</v>
      </c>
      <c r="D9">
        <v>9107197709</v>
      </c>
      <c r="E9" s="38"/>
      <c r="F9" s="4"/>
      <c r="G9" s="5"/>
      <c r="H9" s="4"/>
      <c r="I9" s="43" t="s">
        <v>20</v>
      </c>
      <c r="J9" s="17"/>
      <c r="K9" s="3"/>
      <c r="M9" s="24">
        <v>2</v>
      </c>
    </row>
    <row r="10" spans="1:14" s="7" customFormat="1" x14ac:dyDescent="0.2">
      <c r="A10" t="s">
        <v>211</v>
      </c>
      <c r="B10" s="45"/>
      <c r="C10" s="34" t="s">
        <v>70</v>
      </c>
      <c r="D10">
        <v>9124324105</v>
      </c>
      <c r="E10" s="38"/>
      <c r="F10" s="4"/>
      <c r="G10" s="5"/>
      <c r="H10" s="4"/>
      <c r="I10" s="36" t="s">
        <v>29</v>
      </c>
      <c r="J10" s="17"/>
      <c r="K10" s="3"/>
      <c r="M10" s="26">
        <v>5</v>
      </c>
    </row>
    <row r="11" spans="1:14" s="7" customFormat="1" x14ac:dyDescent="0.2">
      <c r="A11" t="s">
        <v>212</v>
      </c>
      <c r="B11" s="45"/>
      <c r="C11" s="34" t="s">
        <v>70</v>
      </c>
      <c r="D11">
        <v>9198388751</v>
      </c>
      <c r="E11" s="38"/>
      <c r="F11" s="4" t="s">
        <v>254</v>
      </c>
      <c r="G11" s="5"/>
      <c r="H11" s="4"/>
      <c r="I11" s="36" t="s">
        <v>24</v>
      </c>
      <c r="J11" s="17"/>
      <c r="K11" s="3"/>
      <c r="M11" s="27" t="str">
        <f>"&gt; "&amp;days_since_last_2</f>
        <v>&gt; 6</v>
      </c>
    </row>
    <row r="12" spans="1:14" s="7" customFormat="1" x14ac:dyDescent="0.2">
      <c r="A12" t="s">
        <v>213</v>
      </c>
      <c r="B12" s="45"/>
      <c r="C12" s="34" t="s">
        <v>70</v>
      </c>
      <c r="D12">
        <v>9195447348</v>
      </c>
      <c r="E12" s="38"/>
      <c r="F12" s="4"/>
      <c r="G12" s="5"/>
      <c r="H12" s="4"/>
      <c r="I12" s="37" t="s">
        <v>29</v>
      </c>
      <c r="J12" s="17"/>
      <c r="K12" s="3"/>
      <c r="M12" s="14"/>
    </row>
    <row r="13" spans="1:14" s="7" customFormat="1" x14ac:dyDescent="0.2">
      <c r="A13" t="s">
        <v>214</v>
      </c>
      <c r="B13" s="45"/>
      <c r="C13" s="34" t="s">
        <v>70</v>
      </c>
      <c r="D13">
        <v>9192760332</v>
      </c>
      <c r="E13" s="38"/>
      <c r="F13" s="4" t="s">
        <v>254</v>
      </c>
      <c r="G13" s="5"/>
      <c r="H13" s="4"/>
      <c r="I13" s="36" t="s">
        <v>24</v>
      </c>
      <c r="J13" s="17"/>
      <c r="K13" s="3"/>
      <c r="M13" s="23" t="s">
        <v>14</v>
      </c>
    </row>
    <row r="14" spans="1:14" s="7" customFormat="1" x14ac:dyDescent="0.2">
      <c r="A14" t="s">
        <v>215</v>
      </c>
      <c r="B14" s="45"/>
      <c r="C14" s="34" t="s">
        <v>70</v>
      </c>
      <c r="D14">
        <v>9127326731</v>
      </c>
      <c r="E14" s="38"/>
      <c r="F14" s="4"/>
      <c r="G14" s="4"/>
      <c r="H14" s="4"/>
      <c r="I14" s="5"/>
      <c r="J14" s="17"/>
      <c r="K14" s="3"/>
      <c r="M14" s="24">
        <v>10</v>
      </c>
    </row>
    <row r="15" spans="1:14" s="7" customFormat="1" x14ac:dyDescent="0.2">
      <c r="A15" t="s">
        <v>216</v>
      </c>
      <c r="B15" s="45"/>
      <c r="C15" s="34" t="s">
        <v>70</v>
      </c>
      <c r="D15">
        <v>9374851335</v>
      </c>
      <c r="E15" s="38"/>
      <c r="F15" s="4"/>
      <c r="G15" s="5"/>
      <c r="H15" s="4"/>
      <c r="I15" s="5"/>
      <c r="J15" s="17"/>
      <c r="K15" s="3"/>
      <c r="M15" s="26">
        <v>5</v>
      </c>
    </row>
    <row r="16" spans="1:14" s="7" customFormat="1" x14ac:dyDescent="0.2">
      <c r="A16" t="s">
        <v>217</v>
      </c>
      <c r="B16" s="45"/>
      <c r="C16" s="34" t="s">
        <v>70</v>
      </c>
      <c r="D16">
        <v>9399446339</v>
      </c>
      <c r="E16" s="38"/>
      <c r="F16" s="4"/>
      <c r="G16" s="5"/>
      <c r="H16" s="4"/>
      <c r="I16" s="43"/>
      <c r="J16" s="17"/>
      <c r="K16" s="3"/>
      <c r="M16" s="27" t="str">
        <f>"&lt; "&amp;days_until_next_2</f>
        <v>&lt; 4</v>
      </c>
    </row>
    <row r="17" spans="1:13" s="7" customFormat="1" x14ac:dyDescent="0.2">
      <c r="A17" t="s">
        <v>218</v>
      </c>
      <c r="B17" s="45"/>
      <c r="C17" s="34" t="s">
        <v>70</v>
      </c>
      <c r="D17">
        <v>9194328912</v>
      </c>
      <c r="E17" s="38"/>
      <c r="F17" s="4"/>
      <c r="G17" s="5"/>
      <c r="H17" s="4"/>
      <c r="I17" s="43"/>
      <c r="J17" s="17"/>
      <c r="K17" s="3"/>
    </row>
    <row r="18" spans="1:13" s="7" customFormat="1" x14ac:dyDescent="0.2">
      <c r="A18" t="s">
        <v>219</v>
      </c>
      <c r="B18" s="45"/>
      <c r="C18" s="34" t="s">
        <v>70</v>
      </c>
      <c r="D18">
        <v>9195450361</v>
      </c>
      <c r="E18" s="38"/>
      <c r="F18" s="4"/>
      <c r="G18" s="5"/>
      <c r="H18" s="4"/>
      <c r="I18" s="37"/>
      <c r="J18" s="17"/>
      <c r="K18" s="3"/>
      <c r="M18" s="29" t="s">
        <v>6</v>
      </c>
    </row>
    <row r="19" spans="1:13" s="7" customFormat="1" x14ac:dyDescent="0.2">
      <c r="A19" t="s">
        <v>220</v>
      </c>
      <c r="B19" s="45"/>
      <c r="C19" s="34" t="s">
        <v>70</v>
      </c>
      <c r="D19">
        <v>9128318616</v>
      </c>
      <c r="E19" s="38"/>
      <c r="F19" s="4"/>
      <c r="G19" s="5"/>
      <c r="H19" s="4"/>
      <c r="I19" s="42"/>
      <c r="J19" s="17"/>
      <c r="K19" s="3"/>
      <c r="M19" s="17"/>
    </row>
    <row r="20" spans="1:13" x14ac:dyDescent="0.2">
      <c r="A20" t="s">
        <v>221</v>
      </c>
      <c r="B20" s="45"/>
      <c r="C20" s="34" t="s">
        <v>70</v>
      </c>
      <c r="D20">
        <v>9378783557</v>
      </c>
      <c r="E20" s="38"/>
      <c r="F20" s="4"/>
      <c r="G20" s="5"/>
      <c r="H20" s="4"/>
      <c r="I20" s="42"/>
      <c r="J20" s="17"/>
      <c r="K20" s="3"/>
      <c r="M20" s="17" t="s">
        <v>32</v>
      </c>
    </row>
    <row r="21" spans="1:13" x14ac:dyDescent="0.2">
      <c r="A21" t="s">
        <v>222</v>
      </c>
      <c r="B21" s="45"/>
      <c r="C21" s="34" t="s">
        <v>70</v>
      </c>
      <c r="D21">
        <v>9192760332</v>
      </c>
      <c r="E21" s="38"/>
      <c r="F21" s="4"/>
      <c r="G21" s="5"/>
      <c r="H21" s="4"/>
      <c r="I21" s="36"/>
      <c r="J21" s="17"/>
      <c r="K21" s="3"/>
      <c r="M21" s="17" t="s">
        <v>33</v>
      </c>
    </row>
    <row r="22" spans="1:13" x14ac:dyDescent="0.2">
      <c r="A22" t="s">
        <v>223</v>
      </c>
      <c r="B22" s="45"/>
      <c r="C22" s="34" t="s">
        <v>70</v>
      </c>
      <c r="D22">
        <v>9194303899</v>
      </c>
      <c r="E22" s="38"/>
      <c r="F22" s="4"/>
      <c r="G22" s="5"/>
      <c r="H22" s="4"/>
      <c r="I22" s="36"/>
      <c r="J22" s="17"/>
      <c r="K22" s="3"/>
      <c r="M22" s="17" t="s">
        <v>34</v>
      </c>
    </row>
    <row r="23" spans="1:13" x14ac:dyDescent="0.2">
      <c r="A23" t="s">
        <v>224</v>
      </c>
      <c r="B23" s="45"/>
      <c r="C23" s="34" t="s">
        <v>70</v>
      </c>
      <c r="D23">
        <v>9196123379</v>
      </c>
      <c r="E23" s="38"/>
      <c r="F23" s="4"/>
      <c r="G23" s="5"/>
      <c r="H23" s="4"/>
      <c r="I23" s="36"/>
      <c r="J23" s="17"/>
      <c r="K23" s="3"/>
      <c r="M23" s="17" t="s">
        <v>35</v>
      </c>
    </row>
    <row r="24" spans="1:13" x14ac:dyDescent="0.2">
      <c r="A24" t="s">
        <v>225</v>
      </c>
      <c r="B24" s="45"/>
      <c r="C24" s="34" t="s">
        <v>70</v>
      </c>
      <c r="D24">
        <v>9122549434</v>
      </c>
      <c r="E24" s="38"/>
      <c r="F24" s="4"/>
      <c r="G24" s="5"/>
      <c r="H24" s="4"/>
      <c r="I24" s="5"/>
      <c r="J24" s="17"/>
      <c r="K24" s="3"/>
      <c r="M24" s="17" t="s">
        <v>36</v>
      </c>
    </row>
    <row r="25" spans="1:13" x14ac:dyDescent="0.2">
      <c r="A25" t="s">
        <v>226</v>
      </c>
      <c r="B25" s="45"/>
      <c r="C25" s="34" t="s">
        <v>70</v>
      </c>
      <c r="D25">
        <v>9196129952</v>
      </c>
      <c r="E25" s="38"/>
      <c r="F25" s="4"/>
      <c r="G25" s="5"/>
      <c r="H25" s="4"/>
      <c r="I25" s="37"/>
      <c r="J25" s="3"/>
      <c r="K25" s="3"/>
      <c r="M25" s="17"/>
    </row>
    <row r="26" spans="1:13" x14ac:dyDescent="0.2">
      <c r="A26" t="s">
        <v>227</v>
      </c>
      <c r="B26" s="45"/>
      <c r="C26" s="34" t="s">
        <v>70</v>
      </c>
      <c r="D26">
        <v>9192765825</v>
      </c>
      <c r="E26" s="38"/>
      <c r="F26" s="4"/>
      <c r="G26" s="5"/>
      <c r="H26" s="4"/>
      <c r="I26" s="5"/>
      <c r="J26" s="3"/>
      <c r="K26" s="3"/>
      <c r="M26" s="17"/>
    </row>
    <row r="27" spans="1:13" x14ac:dyDescent="0.2">
      <c r="A27" t="s">
        <v>228</v>
      </c>
      <c r="B27" s="45"/>
      <c r="C27" s="34" t="s">
        <v>70</v>
      </c>
      <c r="D27">
        <v>9128318921</v>
      </c>
      <c r="E27" s="38"/>
      <c r="F27" s="4"/>
      <c r="G27" s="5"/>
      <c r="H27" s="4"/>
      <c r="I27" s="37"/>
      <c r="J27" s="3"/>
      <c r="K27" s="3"/>
      <c r="M27" s="17"/>
    </row>
    <row r="28" spans="1:13" x14ac:dyDescent="0.2">
      <c r="A28" t="s">
        <v>229</v>
      </c>
      <c r="B28" s="45"/>
      <c r="C28" s="34" t="s">
        <v>70</v>
      </c>
      <c r="D28">
        <v>9192324291</v>
      </c>
      <c r="E28" s="38"/>
      <c r="F28" s="4" t="s">
        <v>254</v>
      </c>
      <c r="G28" s="5"/>
      <c r="H28" s="4"/>
      <c r="I28" s="5" t="s">
        <v>29</v>
      </c>
      <c r="J28" s="3"/>
      <c r="K28" s="3" t="s">
        <v>293</v>
      </c>
      <c r="M28" s="17"/>
    </row>
    <row r="29" spans="1:13" x14ac:dyDescent="0.2">
      <c r="A29" t="s">
        <v>230</v>
      </c>
      <c r="B29" s="45"/>
      <c r="C29" s="34" t="s">
        <v>70</v>
      </c>
      <c r="D29">
        <v>9302762326</v>
      </c>
      <c r="E29" s="38"/>
      <c r="F29" s="4" t="s">
        <v>254</v>
      </c>
      <c r="G29" s="5"/>
      <c r="H29" s="4"/>
      <c r="I29" s="44" t="s">
        <v>24</v>
      </c>
      <c r="J29" s="3"/>
      <c r="K29" s="3" t="s">
        <v>292</v>
      </c>
      <c r="M29" s="17"/>
    </row>
    <row r="30" spans="1:13" x14ac:dyDescent="0.2">
      <c r="A30" t="s">
        <v>231</v>
      </c>
      <c r="B30" s="45"/>
      <c r="C30" s="34" t="s">
        <v>70</v>
      </c>
      <c r="D30">
        <v>9365865811</v>
      </c>
      <c r="E30" s="38"/>
      <c r="F30" s="4" t="s">
        <v>254</v>
      </c>
      <c r="G30" s="5"/>
      <c r="H30" s="4"/>
      <c r="I30" s="37" t="s">
        <v>24</v>
      </c>
      <c r="J30" s="3"/>
      <c r="K30" s="3"/>
      <c r="M30" s="17"/>
    </row>
    <row r="31" spans="1:13" x14ac:dyDescent="0.2">
      <c r="A31" t="s">
        <v>232</v>
      </c>
      <c r="B31" s="45"/>
      <c r="C31" s="34" t="s">
        <v>70</v>
      </c>
      <c r="D31">
        <v>9195445594</v>
      </c>
      <c r="E31" s="38"/>
      <c r="F31" s="4" t="s">
        <v>254</v>
      </c>
      <c r="G31" s="5"/>
      <c r="H31" s="4"/>
      <c r="I31" s="37" t="s">
        <v>24</v>
      </c>
      <c r="J31" s="3"/>
      <c r="K31" s="3" t="s">
        <v>291</v>
      </c>
      <c r="M31" s="16"/>
    </row>
    <row r="32" spans="1:13" x14ac:dyDescent="0.2">
      <c r="A32" t="s">
        <v>233</v>
      </c>
      <c r="B32" s="45"/>
      <c r="C32" s="34" t="s">
        <v>70</v>
      </c>
      <c r="D32">
        <v>9356959221</v>
      </c>
      <c r="E32" s="38"/>
      <c r="F32" s="4"/>
      <c r="G32" s="5"/>
      <c r="H32" s="4"/>
      <c r="I32" s="37"/>
      <c r="J32" s="3"/>
      <c r="K32" s="3"/>
      <c r="L32" s="10"/>
      <c r="M32" s="16"/>
    </row>
    <row r="33" spans="1:13" x14ac:dyDescent="0.2">
      <c r="A33" s="34" t="s">
        <v>234</v>
      </c>
      <c r="B33" s="3"/>
      <c r="C33" s="34" t="s">
        <v>73</v>
      </c>
      <c r="D33" s="34">
        <v>9192764474</v>
      </c>
      <c r="E33" s="38"/>
      <c r="F33" s="4"/>
      <c r="G33" s="5"/>
      <c r="H33" s="4"/>
      <c r="I33" s="5"/>
      <c r="J33" s="3"/>
      <c r="K33" s="3"/>
      <c r="L33" s="10"/>
    </row>
    <row r="34" spans="1:13" x14ac:dyDescent="0.2">
      <c r="A34" s="34" t="s">
        <v>234</v>
      </c>
      <c r="B34" s="3"/>
      <c r="C34" s="35" t="s">
        <v>73</v>
      </c>
      <c r="D34" s="35">
        <v>9125313145</v>
      </c>
      <c r="E34" s="38"/>
      <c r="F34" s="4"/>
      <c r="G34" s="5"/>
      <c r="H34" s="4"/>
      <c r="I34" s="5"/>
      <c r="J34" s="3"/>
      <c r="K34" s="3"/>
      <c r="L34" s="10"/>
      <c r="M34" s="29" t="s">
        <v>7</v>
      </c>
    </row>
    <row r="35" spans="1:13" x14ac:dyDescent="0.2">
      <c r="A35" s="34" t="s">
        <v>235</v>
      </c>
      <c r="B35" s="3"/>
      <c r="C35" s="35" t="s">
        <v>73</v>
      </c>
      <c r="D35" s="52">
        <v>9125321775</v>
      </c>
      <c r="E35" s="38"/>
      <c r="F35" s="4"/>
      <c r="G35" s="5"/>
      <c r="H35" s="4"/>
      <c r="I35" s="44"/>
      <c r="J35" s="3"/>
      <c r="K35" s="3"/>
      <c r="L35" s="10"/>
      <c r="M35" s="16"/>
    </row>
    <row r="36" spans="1:13" x14ac:dyDescent="0.2">
      <c r="A36" s="35" t="s">
        <v>236</v>
      </c>
      <c r="B36" s="3"/>
      <c r="C36" s="35" t="s">
        <v>73</v>
      </c>
      <c r="D36" s="34">
        <v>9119807939</v>
      </c>
      <c r="E36" s="38"/>
      <c r="F36" s="4"/>
      <c r="G36" s="5"/>
      <c r="H36" s="4"/>
      <c r="I36" s="37"/>
      <c r="J36" s="3"/>
      <c r="K36" s="3"/>
      <c r="L36" s="10"/>
      <c r="M36" s="17" t="s">
        <v>20</v>
      </c>
    </row>
    <row r="37" spans="1:13" x14ac:dyDescent="0.2">
      <c r="A37" s="34" t="s">
        <v>237</v>
      </c>
      <c r="B37" s="3"/>
      <c r="C37" s="35" t="s">
        <v>73</v>
      </c>
      <c r="D37" s="34">
        <v>9124321215</v>
      </c>
      <c r="E37" s="38"/>
      <c r="F37" s="4"/>
      <c r="G37" s="5"/>
      <c r="H37" s="4"/>
      <c r="I37" s="37"/>
      <c r="J37" s="3"/>
      <c r="K37" s="3"/>
      <c r="L37" s="10"/>
      <c r="M37" s="17" t="s">
        <v>21</v>
      </c>
    </row>
    <row r="38" spans="1:13" x14ac:dyDescent="0.2">
      <c r="A38" s="35" t="s">
        <v>238</v>
      </c>
      <c r="B38" s="3"/>
      <c r="C38" s="35" t="s">
        <v>73</v>
      </c>
      <c r="D38" s="35">
        <v>9121311099</v>
      </c>
      <c r="E38" s="38"/>
      <c r="F38" s="4"/>
      <c r="G38" s="4"/>
      <c r="H38" s="4"/>
      <c r="I38" s="36"/>
      <c r="J38" s="3"/>
      <c r="K38" s="3"/>
      <c r="L38" s="10"/>
      <c r="M38" s="25" t="s">
        <v>22</v>
      </c>
    </row>
    <row r="39" spans="1:13" x14ac:dyDescent="0.2">
      <c r="A39" s="34" t="s">
        <v>239</v>
      </c>
      <c r="B39" s="3"/>
      <c r="C39" s="35" t="s">
        <v>73</v>
      </c>
      <c r="D39" s="34"/>
      <c r="E39" s="38"/>
      <c r="F39" s="4"/>
      <c r="G39" s="5"/>
      <c r="H39" s="4"/>
      <c r="I39" s="44"/>
      <c r="J39" s="3"/>
      <c r="K39" s="3"/>
      <c r="L39" s="10"/>
      <c r="M39" s="25" t="s">
        <v>23</v>
      </c>
    </row>
    <row r="40" spans="1:13" x14ac:dyDescent="0.2">
      <c r="A40" s="34"/>
      <c r="B40" s="3"/>
      <c r="C40" s="35"/>
      <c r="D40" s="3"/>
      <c r="E40" s="38"/>
      <c r="F40" s="4"/>
      <c r="G40" s="4"/>
      <c r="H40" s="4"/>
      <c r="I40" s="37"/>
      <c r="J40" s="3"/>
      <c r="K40" s="3"/>
      <c r="M40" s="25" t="s">
        <v>24</v>
      </c>
    </row>
    <row r="41" spans="1:13" x14ac:dyDescent="0.2">
      <c r="A41" s="34"/>
      <c r="B41" s="3"/>
      <c r="C41" s="34"/>
      <c r="D41" s="3"/>
      <c r="E41" s="38"/>
      <c r="F41" s="4"/>
      <c r="G41" s="5"/>
      <c r="H41" s="4"/>
      <c r="I41" s="37"/>
      <c r="J41" s="3"/>
      <c r="K41" s="3"/>
      <c r="M41" s="25" t="s">
        <v>25</v>
      </c>
    </row>
    <row r="42" spans="1:13" x14ac:dyDescent="0.2">
      <c r="A42" s="34"/>
      <c r="B42" s="3"/>
      <c r="C42" s="35"/>
      <c r="D42" s="3"/>
      <c r="E42" s="38"/>
      <c r="F42" s="4"/>
      <c r="G42" s="4"/>
      <c r="H42" s="4"/>
      <c r="I42" s="36"/>
      <c r="J42" s="3"/>
      <c r="K42" s="3"/>
      <c r="M42" s="25" t="s">
        <v>26</v>
      </c>
    </row>
    <row r="43" spans="1:13" x14ac:dyDescent="0.2">
      <c r="A43" s="34"/>
      <c r="B43" s="3"/>
      <c r="C43" s="35"/>
      <c r="D43" s="3"/>
      <c r="E43" s="38"/>
      <c r="F43" s="4"/>
      <c r="G43" s="5"/>
      <c r="H43" s="4"/>
      <c r="I43" s="5"/>
      <c r="J43" s="3"/>
      <c r="K43" s="3"/>
      <c r="M43" s="17" t="s">
        <v>27</v>
      </c>
    </row>
    <row r="44" spans="1:13" x14ac:dyDescent="0.2">
      <c r="A44" s="34"/>
      <c r="B44" s="3"/>
      <c r="C44" s="35"/>
      <c r="D44" s="3"/>
      <c r="E44" s="38"/>
      <c r="F44" s="4"/>
      <c r="G44" s="5"/>
      <c r="H44" s="4"/>
      <c r="I44" s="5"/>
      <c r="J44" s="3"/>
      <c r="K44" s="3"/>
      <c r="M44" s="17" t="s">
        <v>28</v>
      </c>
    </row>
    <row r="45" spans="1:13" x14ac:dyDescent="0.2">
      <c r="A45" s="34"/>
      <c r="B45" s="3"/>
      <c r="C45" s="35"/>
      <c r="D45" s="3"/>
      <c r="E45" s="38"/>
      <c r="F45" s="4"/>
      <c r="G45" s="5"/>
      <c r="H45" s="4"/>
      <c r="I45" s="5"/>
      <c r="J45" s="3"/>
      <c r="K45" s="3"/>
      <c r="M45" s="17" t="s">
        <v>29</v>
      </c>
    </row>
    <row r="46" spans="1:13" x14ac:dyDescent="0.2">
      <c r="A46" s="34"/>
      <c r="B46" s="3"/>
      <c r="C46" s="35"/>
      <c r="D46" s="3"/>
      <c r="E46" s="38"/>
      <c r="F46" s="4"/>
      <c r="G46" s="5"/>
      <c r="H46" s="4"/>
      <c r="I46" s="5"/>
      <c r="J46" s="3"/>
      <c r="K46" s="3"/>
      <c r="M46" s="17" t="s">
        <v>30</v>
      </c>
    </row>
    <row r="47" spans="1:13" x14ac:dyDescent="0.2">
      <c r="A47" s="34"/>
      <c r="B47" s="3"/>
      <c r="C47" s="35"/>
      <c r="D47" s="3"/>
      <c r="E47" s="38"/>
      <c r="F47" s="4"/>
      <c r="G47" s="5"/>
      <c r="H47" s="4"/>
      <c r="I47" s="5"/>
      <c r="J47" s="3"/>
      <c r="K47" s="3"/>
      <c r="M47" s="17"/>
    </row>
    <row r="48" spans="1:13" x14ac:dyDescent="0.2">
      <c r="A48" s="34"/>
      <c r="B48" s="3"/>
      <c r="C48" s="35"/>
      <c r="D48" s="3"/>
      <c r="E48" s="38"/>
      <c r="F48" s="4"/>
      <c r="G48" s="5"/>
      <c r="H48" s="4"/>
      <c r="I48" s="5"/>
      <c r="J48" s="3"/>
      <c r="K48" s="3"/>
      <c r="M48" s="17"/>
    </row>
    <row r="49" spans="1:11" x14ac:dyDescent="0.2">
      <c r="A49" s="34"/>
      <c r="B49" s="3"/>
      <c r="C49" s="35"/>
      <c r="D49" s="3"/>
      <c r="E49" s="38"/>
      <c r="F49" s="4"/>
      <c r="G49" s="5"/>
      <c r="H49" s="4"/>
      <c r="I49" s="5"/>
      <c r="J49" s="3"/>
      <c r="K49" s="3"/>
    </row>
    <row r="50" spans="1:11" x14ac:dyDescent="0.2">
      <c r="A50" s="34"/>
      <c r="B50" s="3"/>
      <c r="C50" s="35"/>
      <c r="D50" s="3"/>
      <c r="E50" s="38"/>
      <c r="F50" s="4"/>
      <c r="G50" s="5"/>
      <c r="H50" s="4"/>
      <c r="I50" s="5"/>
      <c r="J50" s="3"/>
      <c r="K50" s="3"/>
    </row>
    <row r="51" spans="1:11" x14ac:dyDescent="0.2">
      <c r="A51" s="34"/>
      <c r="B51" s="3"/>
      <c r="C51" s="35"/>
      <c r="D51" s="3"/>
      <c r="E51" s="38"/>
      <c r="F51" s="4"/>
      <c r="G51" s="5"/>
      <c r="H51" s="4"/>
      <c r="I51" s="5"/>
      <c r="J51" s="3"/>
      <c r="K51" s="3"/>
    </row>
    <row r="52" spans="1:11" x14ac:dyDescent="0.2">
      <c r="A52" s="34"/>
      <c r="B52" s="3"/>
      <c r="C52" s="35"/>
      <c r="D52" s="3"/>
      <c r="E52" s="38"/>
      <c r="F52" s="4"/>
      <c r="G52" s="5"/>
      <c r="H52" s="4"/>
      <c r="I52" s="5"/>
      <c r="J52" s="3"/>
      <c r="K52" s="3"/>
    </row>
    <row r="53" spans="1:11" x14ac:dyDescent="0.2">
      <c r="A53" s="34"/>
      <c r="B53" s="3"/>
      <c r="C53" s="35"/>
      <c r="D53" s="3"/>
      <c r="E53" s="38"/>
      <c r="F53" s="4"/>
      <c r="G53" s="5"/>
      <c r="H53" s="4"/>
      <c r="I53" s="5"/>
      <c r="J53" s="3"/>
      <c r="K53" s="3"/>
    </row>
    <row r="54" spans="1:11" x14ac:dyDescent="0.2">
      <c r="A54" s="34"/>
      <c r="B54" s="3"/>
      <c r="C54" s="35"/>
      <c r="D54" s="3"/>
      <c r="E54" s="38"/>
      <c r="F54" s="4"/>
      <c r="G54" s="5"/>
      <c r="H54" s="4"/>
      <c r="I54" s="5"/>
      <c r="J54" s="3"/>
      <c r="K54" s="3"/>
    </row>
    <row r="55" spans="1:11" x14ac:dyDescent="0.2">
      <c r="A55" s="34"/>
      <c r="B55" s="3"/>
      <c r="C55" s="35"/>
      <c r="D55" s="3"/>
      <c r="E55" s="38"/>
      <c r="F55" s="4"/>
      <c r="G55" s="5"/>
      <c r="H55" s="4"/>
      <c r="I55" s="5"/>
      <c r="J55" s="3"/>
      <c r="K55" s="3"/>
    </row>
    <row r="56" spans="1:11" x14ac:dyDescent="0.2">
      <c r="A56" s="34"/>
      <c r="B56" s="3"/>
      <c r="C56" s="35"/>
      <c r="D56" s="3"/>
      <c r="E56" s="38"/>
      <c r="F56" s="4"/>
      <c r="G56" s="5"/>
      <c r="H56" s="4"/>
      <c r="I56" s="5"/>
      <c r="J56" s="3"/>
      <c r="K56" s="3"/>
    </row>
    <row r="57" spans="1:11" x14ac:dyDescent="0.2">
      <c r="A57" s="34"/>
      <c r="B57" s="3"/>
      <c r="C57" s="35"/>
      <c r="D57" s="3"/>
      <c r="E57" s="38"/>
      <c r="F57" s="4"/>
      <c r="G57" s="5"/>
      <c r="H57" s="4"/>
      <c r="I57" s="5"/>
      <c r="J57" s="3"/>
      <c r="K57" s="3"/>
    </row>
    <row r="58" spans="1:11" x14ac:dyDescent="0.2">
      <c r="A58" s="34"/>
      <c r="B58" s="3"/>
      <c r="C58" s="35"/>
      <c r="D58" s="3"/>
      <c r="E58" s="38"/>
      <c r="F58" s="4"/>
      <c r="G58" s="5"/>
      <c r="H58" s="4"/>
      <c r="I58" s="5"/>
      <c r="J58" s="3"/>
      <c r="K58" s="3"/>
    </row>
    <row r="59" spans="1:11" x14ac:dyDescent="0.2">
      <c r="A59" s="34"/>
      <c r="B59" s="3"/>
      <c r="C59" s="35"/>
      <c r="D59" s="3"/>
      <c r="E59" s="38"/>
      <c r="F59" s="4"/>
      <c r="G59" s="5"/>
      <c r="H59" s="4"/>
      <c r="I59" s="5"/>
      <c r="J59" s="3"/>
      <c r="K59" s="3"/>
    </row>
    <row r="60" spans="1:11" x14ac:dyDescent="0.2">
      <c r="A60" s="34"/>
      <c r="B60" s="3"/>
      <c r="C60" s="3"/>
      <c r="D60" s="3"/>
      <c r="E60" s="38"/>
      <c r="F60" s="4"/>
      <c r="G60" s="5"/>
      <c r="H60" s="4"/>
      <c r="I60" s="37"/>
      <c r="J60" s="3"/>
      <c r="K60" s="3"/>
    </row>
    <row r="61" spans="1:11" x14ac:dyDescent="0.2">
      <c r="A61"/>
      <c r="B61" s="3"/>
      <c r="C61" s="3"/>
      <c r="D61"/>
      <c r="E61" s="38"/>
      <c r="F61" s="4"/>
      <c r="G61" s="5"/>
      <c r="H61" s="4"/>
      <c r="I61" s="5"/>
      <c r="J61" s="3"/>
      <c r="K61" s="3"/>
    </row>
    <row r="62" spans="1:11" x14ac:dyDescent="0.2">
      <c r="A62"/>
      <c r="B62" s="3"/>
      <c r="C62" s="3"/>
      <c r="D62"/>
      <c r="E62" s="38"/>
      <c r="F62" s="4"/>
      <c r="G62" s="5"/>
      <c r="H62" s="4"/>
      <c r="I62" s="5"/>
      <c r="J62" s="3"/>
      <c r="K62" s="3"/>
    </row>
    <row r="63" spans="1:11" x14ac:dyDescent="0.2">
      <c r="A63"/>
      <c r="B63" s="3"/>
      <c r="C63" s="3"/>
      <c r="D63"/>
      <c r="E63" s="38"/>
      <c r="F63" s="4"/>
      <c r="G63" s="5"/>
      <c r="H63" s="4"/>
      <c r="I63" s="5"/>
      <c r="J63" s="3"/>
      <c r="K63" s="3"/>
    </row>
    <row r="64" spans="1:11" x14ac:dyDescent="0.2">
      <c r="A64"/>
      <c r="B64" s="3"/>
      <c r="C64" s="3"/>
      <c r="D64"/>
      <c r="E64" s="38"/>
      <c r="F64" s="4"/>
      <c r="G64" s="5"/>
      <c r="H64" s="4"/>
      <c r="I64" s="5"/>
      <c r="J64" s="3"/>
      <c r="K64" s="3"/>
    </row>
    <row r="65" spans="1:11" x14ac:dyDescent="0.2">
      <c r="A65"/>
      <c r="B65" s="3"/>
      <c r="C65" s="3"/>
      <c r="D65"/>
      <c r="E65" s="38"/>
      <c r="F65" s="4"/>
      <c r="G65" s="5"/>
      <c r="H65" s="4"/>
      <c r="I65" s="5"/>
      <c r="J65" s="3"/>
      <c r="K65" s="3"/>
    </row>
    <row r="66" spans="1:11" x14ac:dyDescent="0.2">
      <c r="A66"/>
      <c r="B66" s="3"/>
      <c r="C66" s="3"/>
      <c r="D66"/>
      <c r="E66" s="38"/>
      <c r="F66" s="4"/>
      <c r="G66" s="5"/>
      <c r="H66" s="4"/>
      <c r="I66" s="5"/>
      <c r="J66" s="3"/>
      <c r="K66" s="3"/>
    </row>
    <row r="67" spans="1:11" x14ac:dyDescent="0.2">
      <c r="A67"/>
      <c r="B67" s="3"/>
      <c r="C67" s="3"/>
      <c r="D67"/>
      <c r="E67" s="38"/>
      <c r="F67" s="4"/>
      <c r="G67" s="5"/>
      <c r="H67" s="4"/>
      <c r="I67" s="5"/>
      <c r="J67" s="3"/>
      <c r="K67" s="3"/>
    </row>
    <row r="68" spans="1:11" x14ac:dyDescent="0.2">
      <c r="A68"/>
      <c r="B68" s="3"/>
      <c r="C68" s="3"/>
      <c r="D68"/>
      <c r="E68" s="38"/>
      <c r="F68" s="4"/>
      <c r="G68" s="5"/>
      <c r="H68" s="4"/>
      <c r="I68" s="5"/>
      <c r="J68" s="3"/>
      <c r="K68" s="3"/>
    </row>
    <row r="69" spans="1:11" x14ac:dyDescent="0.2">
      <c r="A69"/>
      <c r="B69" s="3"/>
      <c r="C69" s="3"/>
      <c r="D69"/>
      <c r="E69" s="38"/>
      <c r="F69" s="4"/>
      <c r="G69" s="5"/>
      <c r="H69" s="4"/>
      <c r="I69" s="5"/>
      <c r="J69" s="3"/>
      <c r="K69" s="3"/>
    </row>
    <row r="70" spans="1:11" x14ac:dyDescent="0.2">
      <c r="A70"/>
      <c r="B70" s="45"/>
      <c r="C70" s="3"/>
      <c r="D70"/>
      <c r="E70" s="46"/>
      <c r="F70" s="47"/>
      <c r="G70" s="48"/>
      <c r="H70" s="47"/>
      <c r="I70" s="48"/>
      <c r="J70" s="45"/>
      <c r="K70" s="45"/>
    </row>
    <row r="71" spans="1:11" x14ac:dyDescent="0.2">
      <c r="A71"/>
      <c r="B71" s="45"/>
      <c r="C71" s="3"/>
      <c r="D71"/>
      <c r="E71" s="46"/>
      <c r="F71" s="47"/>
      <c r="G71" s="48"/>
      <c r="H71" s="47"/>
      <c r="I71" s="48"/>
      <c r="J71" s="45"/>
      <c r="K71" s="45"/>
    </row>
    <row r="72" spans="1:11" x14ac:dyDescent="0.2">
      <c r="A72"/>
      <c r="B72" s="45"/>
      <c r="C72" s="3"/>
      <c r="D72"/>
      <c r="E72" s="46"/>
      <c r="F72" s="47"/>
      <c r="G72" s="48"/>
      <c r="H72" s="47"/>
      <c r="I72" s="48"/>
      <c r="J72" s="45"/>
      <c r="K72" s="45"/>
    </row>
    <row r="73" spans="1:11" x14ac:dyDescent="0.2">
      <c r="A73"/>
      <c r="B73" s="45"/>
      <c r="C73" s="3"/>
      <c r="D73"/>
      <c r="E73" s="46"/>
      <c r="F73" s="47"/>
      <c r="G73" s="48"/>
      <c r="H73" s="47"/>
      <c r="I73" s="48"/>
      <c r="J73" s="45"/>
      <c r="K73" s="45"/>
    </row>
    <row r="74" spans="1:11" x14ac:dyDescent="0.2">
      <c r="A74"/>
      <c r="B74" s="45"/>
      <c r="C74" s="3"/>
      <c r="D74"/>
      <c r="E74" s="46"/>
      <c r="F74" s="47"/>
      <c r="G74" s="48"/>
      <c r="H74" s="47"/>
      <c r="I74" s="48"/>
      <c r="J74" s="45"/>
      <c r="K74" s="45"/>
    </row>
    <row r="75" spans="1:11" x14ac:dyDescent="0.2">
      <c r="A75"/>
      <c r="B75" s="45"/>
      <c r="C75" s="3"/>
      <c r="D75"/>
      <c r="E75" s="46"/>
      <c r="F75" s="47"/>
      <c r="G75" s="48"/>
      <c r="H75" s="47"/>
      <c r="I75" s="48"/>
      <c r="J75" s="45"/>
      <c r="K75" s="45"/>
    </row>
    <row r="76" spans="1:11" x14ac:dyDescent="0.2">
      <c r="A76"/>
      <c r="B76" s="45"/>
      <c r="C76" s="3"/>
      <c r="D76"/>
      <c r="E76" s="46"/>
      <c r="F76" s="47"/>
      <c r="G76" s="48"/>
      <c r="H76" s="47"/>
      <c r="I76" s="48"/>
      <c r="J76" s="45"/>
      <c r="K76" s="45"/>
    </row>
    <row r="77" spans="1:11" x14ac:dyDescent="0.2">
      <c r="A77"/>
      <c r="B77" s="45"/>
      <c r="C77" s="3"/>
      <c r="D77"/>
      <c r="E77" s="46"/>
      <c r="F77" s="47"/>
      <c r="G77" s="48"/>
      <c r="H77" s="47"/>
      <c r="I77" s="48"/>
      <c r="J77" s="45"/>
      <c r="K77" s="45"/>
    </row>
    <row r="78" spans="1:11" x14ac:dyDescent="0.2">
      <c r="A78"/>
      <c r="B78" s="45"/>
      <c r="C78" s="3"/>
      <c r="D78"/>
      <c r="E78" s="46"/>
      <c r="F78" s="47"/>
      <c r="G78" s="48"/>
      <c r="H78" s="47"/>
      <c r="I78" s="48"/>
      <c r="J78" s="45"/>
      <c r="K78" s="45"/>
    </row>
    <row r="79" spans="1:11" x14ac:dyDescent="0.2">
      <c r="A79"/>
      <c r="B79" s="45"/>
      <c r="C79" s="3"/>
      <c r="D79"/>
      <c r="E79" s="46"/>
      <c r="F79" s="47"/>
      <c r="G79" s="48"/>
      <c r="H79" s="47"/>
      <c r="I79" s="48"/>
      <c r="J79" s="45"/>
      <c r="K79" s="45"/>
    </row>
    <row r="80" spans="1:11" x14ac:dyDescent="0.2">
      <c r="A80"/>
      <c r="B80" s="45"/>
      <c r="C80" s="3"/>
      <c r="D80"/>
      <c r="E80" s="46"/>
      <c r="F80" s="47"/>
      <c r="G80" s="48"/>
      <c r="H80" s="47"/>
      <c r="I80" s="48"/>
      <c r="J80" s="45"/>
      <c r="K80" s="45"/>
    </row>
    <row r="81" spans="1:11" x14ac:dyDescent="0.2">
      <c r="A81"/>
      <c r="B81" s="45"/>
      <c r="C81" s="3"/>
      <c r="D81"/>
      <c r="E81" s="46"/>
      <c r="F81" s="47"/>
      <c r="G81" s="48"/>
      <c r="H81" s="47"/>
      <c r="I81" s="48"/>
      <c r="J81" s="45"/>
      <c r="K81" s="45"/>
    </row>
    <row r="82" spans="1:11" x14ac:dyDescent="0.2">
      <c r="A82"/>
      <c r="B82" s="45"/>
      <c r="C82" s="3"/>
      <c r="D82"/>
      <c r="E82" s="46"/>
      <c r="F82" s="47"/>
      <c r="G82" s="48"/>
      <c r="H82" s="47"/>
      <c r="I82" s="48"/>
      <c r="J82" s="45"/>
      <c r="K82" s="45"/>
    </row>
    <row r="83" spans="1:11" x14ac:dyDescent="0.2">
      <c r="A83"/>
      <c r="B83" s="45"/>
      <c r="C83" s="3"/>
      <c r="D83"/>
      <c r="E83" s="46"/>
      <c r="F83" s="47"/>
      <c r="G83" s="48"/>
      <c r="H83" s="47"/>
      <c r="I83" s="48"/>
      <c r="J83" s="45"/>
      <c r="K83" s="45"/>
    </row>
    <row r="84" spans="1:11" x14ac:dyDescent="0.2">
      <c r="A84"/>
      <c r="B84" s="45"/>
      <c r="C84" s="3"/>
      <c r="D84"/>
      <c r="E84" s="46"/>
      <c r="F84" s="47"/>
      <c r="G84" s="48"/>
      <c r="H84" s="47"/>
      <c r="I84" s="48"/>
      <c r="J84" s="45"/>
      <c r="K84" s="45"/>
    </row>
    <row r="85" spans="1:11" x14ac:dyDescent="0.2">
      <c r="A85"/>
      <c r="B85" s="45"/>
      <c r="C85" s="3"/>
      <c r="D85"/>
      <c r="E85" s="46"/>
      <c r="F85" s="47"/>
      <c r="G85" s="48"/>
      <c r="H85" s="47"/>
      <c r="I85" s="48"/>
      <c r="J85" s="45"/>
      <c r="K85" s="45"/>
    </row>
    <row r="86" spans="1:11" x14ac:dyDescent="0.2">
      <c r="A86"/>
      <c r="B86" s="45"/>
      <c r="C86" s="3"/>
      <c r="D86"/>
      <c r="E86" s="46"/>
      <c r="F86" s="47"/>
      <c r="G86" s="48"/>
      <c r="H86" s="47"/>
      <c r="I86" s="48"/>
      <c r="J86" s="45"/>
      <c r="K86" s="45"/>
    </row>
    <row r="87" spans="1:11" x14ac:dyDescent="0.2">
      <c r="A87"/>
      <c r="B87" s="45"/>
      <c r="C87" s="3"/>
      <c r="D87"/>
      <c r="E87" s="46"/>
      <c r="F87" s="47"/>
      <c r="G87" s="48"/>
      <c r="H87" s="47"/>
      <c r="I87" s="48"/>
      <c r="J87" s="45"/>
      <c r="K87" s="45"/>
    </row>
    <row r="88" spans="1:11" x14ac:dyDescent="0.2">
      <c r="A88"/>
      <c r="B88" s="45"/>
      <c r="C88" s="3"/>
      <c r="D88"/>
      <c r="E88" s="46"/>
      <c r="F88" s="47"/>
      <c r="G88" s="48"/>
      <c r="H88" s="47"/>
      <c r="I88" s="48"/>
      <c r="J88" s="45"/>
      <c r="K88" s="45"/>
    </row>
    <row r="89" spans="1:11" x14ac:dyDescent="0.2">
      <c r="A89"/>
      <c r="B89" s="45"/>
      <c r="C89" s="3"/>
      <c r="D89"/>
      <c r="E89" s="46"/>
      <c r="F89" s="47"/>
      <c r="G89" s="48"/>
      <c r="H89" s="47"/>
      <c r="I89" s="48"/>
      <c r="J89" s="45"/>
      <c r="K89" s="45"/>
    </row>
    <row r="90" spans="1:11" x14ac:dyDescent="0.2">
      <c r="A90"/>
      <c r="B90" s="45"/>
      <c r="C90" s="3"/>
      <c r="D90"/>
      <c r="E90" s="46"/>
      <c r="F90" s="47"/>
      <c r="G90" s="48"/>
      <c r="H90" s="47"/>
      <c r="I90" s="48"/>
      <c r="J90" s="45"/>
      <c r="K90" s="45"/>
    </row>
    <row r="91" spans="1:11" x14ac:dyDescent="0.2">
      <c r="A91"/>
      <c r="B91" s="45"/>
      <c r="C91" s="3"/>
      <c r="D91"/>
      <c r="E91" s="46"/>
      <c r="F91" s="47"/>
      <c r="G91" s="48"/>
      <c r="H91" s="47"/>
      <c r="I91" s="48"/>
      <c r="J91" s="45"/>
      <c r="K91" s="45"/>
    </row>
    <row r="92" spans="1:11" x14ac:dyDescent="0.2">
      <c r="A92"/>
      <c r="B92" s="45"/>
      <c r="C92" s="3"/>
      <c r="D92"/>
      <c r="E92" s="46"/>
      <c r="F92" s="47"/>
      <c r="G92" s="48"/>
      <c r="H92" s="47"/>
      <c r="I92" s="48"/>
      <c r="J92" s="45"/>
      <c r="K92" s="45"/>
    </row>
    <row r="93" spans="1:11" x14ac:dyDescent="0.2">
      <c r="A93"/>
      <c r="B93" s="45"/>
      <c r="C93" s="3"/>
      <c r="D93"/>
      <c r="E93" s="46"/>
      <c r="F93" s="47"/>
      <c r="G93" s="48"/>
      <c r="H93" s="47"/>
      <c r="I93" s="48"/>
      <c r="J93" s="45"/>
      <c r="K93" s="45"/>
    </row>
    <row r="94" spans="1:11" x14ac:dyDescent="0.2">
      <c r="A94"/>
      <c r="B94" s="45"/>
      <c r="C94" s="3"/>
      <c r="D94"/>
      <c r="E94" s="46"/>
      <c r="F94" s="47"/>
      <c r="G94" s="48"/>
      <c r="H94" s="47"/>
      <c r="I94" s="48"/>
      <c r="J94" s="45"/>
      <c r="K94" s="45"/>
    </row>
    <row r="95" spans="1:11" x14ac:dyDescent="0.2">
      <c r="A95"/>
      <c r="B95" s="45"/>
      <c r="C95" s="3"/>
      <c r="D95"/>
      <c r="E95" s="46"/>
      <c r="F95" s="47"/>
      <c r="G95" s="48"/>
      <c r="H95" s="47"/>
      <c r="I95" s="48"/>
      <c r="J95" s="45"/>
      <c r="K95" s="45"/>
    </row>
    <row r="96" spans="1:11" x14ac:dyDescent="0.2">
      <c r="A96"/>
      <c r="B96" s="45"/>
      <c r="C96" s="3"/>
      <c r="D96"/>
      <c r="E96" s="46"/>
      <c r="F96" s="47"/>
      <c r="G96" s="48"/>
      <c r="H96" s="47"/>
      <c r="I96" s="48"/>
      <c r="J96" s="45"/>
      <c r="K96" s="45"/>
    </row>
    <row r="97" spans="1:11" x14ac:dyDescent="0.2">
      <c r="A97"/>
      <c r="B97" s="45"/>
      <c r="C97" s="3"/>
      <c r="D97"/>
      <c r="E97" s="46"/>
      <c r="F97" s="47"/>
      <c r="G97" s="48"/>
      <c r="H97" s="47"/>
      <c r="I97" s="48"/>
      <c r="J97" s="45"/>
      <c r="K97" s="45"/>
    </row>
    <row r="98" spans="1:11" x14ac:dyDescent="0.2">
      <c r="A98"/>
      <c r="B98" s="45"/>
      <c r="C98" s="3"/>
      <c r="D98"/>
      <c r="E98" s="46"/>
      <c r="F98" s="47"/>
      <c r="G98" s="48"/>
      <c r="H98" s="47"/>
      <c r="I98" s="48"/>
      <c r="J98" s="45"/>
      <c r="K98" s="45"/>
    </row>
    <row r="99" spans="1:11" x14ac:dyDescent="0.2">
      <c r="A99"/>
      <c r="B99" s="45"/>
      <c r="C99" s="3"/>
      <c r="D99"/>
      <c r="E99" s="46"/>
      <c r="F99" s="47"/>
      <c r="G99" s="48"/>
      <c r="H99" s="47"/>
      <c r="I99" s="48"/>
      <c r="J99" s="45"/>
      <c r="K99" s="45"/>
    </row>
    <row r="100" spans="1:11" x14ac:dyDescent="0.2">
      <c r="A100"/>
      <c r="B100" s="45"/>
      <c r="C100" s="3"/>
      <c r="D100"/>
      <c r="E100" s="46"/>
      <c r="F100" s="47"/>
      <c r="G100" s="48"/>
      <c r="H100" s="47"/>
      <c r="I100" s="48"/>
      <c r="J100" s="45"/>
      <c r="K100" s="45"/>
    </row>
    <row r="101" spans="1:11" x14ac:dyDescent="0.2">
      <c r="A101"/>
      <c r="B101" s="45"/>
      <c r="C101" s="3"/>
      <c r="D101"/>
      <c r="E101" s="46"/>
      <c r="F101" s="47"/>
      <c r="G101" s="48"/>
      <c r="H101" s="47"/>
      <c r="I101" s="48"/>
      <c r="J101" s="45"/>
      <c r="K101" s="45"/>
    </row>
    <row r="102" spans="1:11" x14ac:dyDescent="0.2">
      <c r="A102"/>
      <c r="B102" s="45"/>
      <c r="C102" s="3"/>
      <c r="D102"/>
      <c r="E102" s="46"/>
      <c r="F102" s="47"/>
      <c r="G102" s="48"/>
      <c r="H102" s="47"/>
      <c r="I102" s="48"/>
      <c r="J102" s="45"/>
      <c r="K102" s="45"/>
    </row>
    <row r="103" spans="1:11" x14ac:dyDescent="0.2">
      <c r="A103"/>
      <c r="B103" s="45"/>
      <c r="C103" s="3"/>
      <c r="D103"/>
      <c r="E103" s="46"/>
      <c r="F103" s="47"/>
      <c r="G103" s="48"/>
      <c r="H103" s="47"/>
      <c r="I103" s="48"/>
      <c r="J103" s="45"/>
      <c r="K103" s="45"/>
    </row>
    <row r="104" spans="1:11" x14ac:dyDescent="0.2">
      <c r="A104"/>
      <c r="B104" s="45"/>
      <c r="C104" s="3"/>
      <c r="D104"/>
      <c r="E104" s="46"/>
      <c r="F104" s="47"/>
      <c r="G104" s="48"/>
      <c r="H104" s="47"/>
      <c r="I104" s="48"/>
      <c r="J104" s="45"/>
      <c r="K104" s="45"/>
    </row>
    <row r="105" spans="1:11" x14ac:dyDescent="0.2">
      <c r="A105"/>
      <c r="B105" s="45"/>
      <c r="C105" s="3"/>
      <c r="D105"/>
      <c r="E105" s="46"/>
      <c r="F105" s="47"/>
      <c r="G105" s="48"/>
      <c r="H105" s="47"/>
      <c r="I105" s="48"/>
      <c r="J105" s="45"/>
      <c r="K105" s="45"/>
    </row>
    <row r="106" spans="1:11" x14ac:dyDescent="0.2">
      <c r="A106"/>
      <c r="B106" s="45"/>
      <c r="C106" s="3"/>
      <c r="D106"/>
      <c r="E106" s="46"/>
      <c r="F106" s="47"/>
      <c r="G106" s="48"/>
      <c r="H106" s="47"/>
      <c r="I106" s="48"/>
      <c r="J106" s="45"/>
      <c r="K106" s="45"/>
    </row>
    <row r="107" spans="1:11" x14ac:dyDescent="0.2">
      <c r="A107"/>
      <c r="B107" s="45"/>
      <c r="C107" s="3"/>
      <c r="D107"/>
      <c r="E107" s="46"/>
      <c r="F107" s="47"/>
      <c r="G107" s="48"/>
      <c r="H107" s="47"/>
      <c r="I107" s="48"/>
      <c r="J107" s="45"/>
      <c r="K107" s="45"/>
    </row>
    <row r="108" spans="1:11" x14ac:dyDescent="0.2">
      <c r="A108"/>
      <c r="B108" s="45"/>
      <c r="C108" s="3"/>
      <c r="D108"/>
      <c r="E108" s="46"/>
      <c r="F108" s="47"/>
      <c r="G108" s="48"/>
      <c r="H108" s="47"/>
      <c r="I108" s="48"/>
      <c r="J108" s="45"/>
      <c r="K108" s="45"/>
    </row>
    <row r="109" spans="1:11" x14ac:dyDescent="0.2">
      <c r="A109"/>
      <c r="B109" s="45"/>
      <c r="C109" s="3"/>
      <c r="D109"/>
      <c r="E109" s="46"/>
      <c r="F109" s="47"/>
      <c r="G109" s="48"/>
      <c r="H109" s="47"/>
      <c r="I109" s="48"/>
      <c r="J109" s="45"/>
      <c r="K109" s="45"/>
    </row>
    <row r="110" spans="1:11" x14ac:dyDescent="0.2">
      <c r="A110"/>
      <c r="B110" s="45"/>
      <c r="C110" s="3"/>
      <c r="D110"/>
      <c r="E110" s="46"/>
      <c r="F110" s="47"/>
      <c r="G110" s="48"/>
      <c r="H110" s="47"/>
      <c r="I110" s="48"/>
      <c r="J110" s="45"/>
      <c r="K110" s="45"/>
    </row>
    <row r="111" spans="1:11" x14ac:dyDescent="0.2">
      <c r="A111"/>
      <c r="B111" s="45"/>
      <c r="C111" s="3"/>
      <c r="D111"/>
      <c r="E111" s="46"/>
      <c r="F111" s="47"/>
      <c r="G111" s="48"/>
      <c r="H111" s="47"/>
      <c r="I111" s="48"/>
      <c r="J111" s="45"/>
      <c r="K111" s="45"/>
    </row>
  </sheetData>
  <mergeCells count="1">
    <mergeCell ref="A3:K3"/>
  </mergeCells>
  <conditionalFormatting sqref="H40:H69">
    <cfRule type="expression" dxfId="192" priority="32" stopIfTrue="1">
      <formula>(H40-TODAY())&gt;=days_until_next_1</formula>
    </cfRule>
    <cfRule type="expression" dxfId="191" priority="33" stopIfTrue="1">
      <formula>(H40-TODAY())&gt;=days_until_next_2</formula>
    </cfRule>
    <cfRule type="expression" dxfId="190" priority="34" stopIfTrue="1">
      <formula>NOT(ISBLANK(H40))</formula>
    </cfRule>
  </conditionalFormatting>
  <conditionalFormatting sqref="F5:F111">
    <cfRule type="expression" dxfId="189" priority="35" stopIfTrue="1">
      <formula>AND(NOT(ISBLANK(F5)),(TODAY()-F5)&lt;=days_since_last_1)</formula>
    </cfRule>
    <cfRule type="expression" dxfId="188" priority="36" stopIfTrue="1">
      <formula>(TODAY()-F5)&lt;=days_since_last_2</formula>
    </cfRule>
    <cfRule type="expression" dxfId="187" priority="37" stopIfTrue="1">
      <formula>NOT(ISBLANK(F5))</formula>
    </cfRule>
  </conditionalFormatting>
  <conditionalFormatting sqref="H5:H39">
    <cfRule type="expression" dxfId="186" priority="26" stopIfTrue="1">
      <formula>AND(NOT(ISBLANK(H5)),(TODAY()-H5)&lt;=days_since_last_1)</formula>
    </cfRule>
    <cfRule type="expression" dxfId="185" priority="27" stopIfTrue="1">
      <formula>(TODAY()-H5)&lt;=days_since_last_2</formula>
    </cfRule>
    <cfRule type="expression" dxfId="184" priority="28" stopIfTrue="1">
      <formula>NOT(ISBLANK(H5))</formula>
    </cfRule>
  </conditionalFormatting>
  <conditionalFormatting sqref="K5:K24 B65:B69 D65:K69 C65:C111 C5:D32 B33:K34 B35:C35 E35:K35 B36:K64 E5:I24 E25:K32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0">
    <cfRule type="expression" dxfId="183" priority="22" stopIfTrue="1">
      <formula>AND(NOT(ISBLANK(G40)),(TODAY()-G40)&lt;=days_since_last_1)</formula>
    </cfRule>
    <cfRule type="expression" dxfId="182" priority="23" stopIfTrue="1">
      <formula>(TODAY()-G40)&lt;=days_since_last_2</formula>
    </cfRule>
    <cfRule type="expression" dxfId="181" priority="24" stopIfTrue="1">
      <formula>NOT(ISBLANK(G40))</formula>
    </cfRule>
  </conditionalFormatting>
  <conditionalFormatting sqref="H40:H42">
    <cfRule type="expression" dxfId="180" priority="19" stopIfTrue="1">
      <formula>AND(NOT(ISBLANK(H40)),(TODAY()-H40)&lt;=days_since_last_1)</formula>
    </cfRule>
    <cfRule type="expression" dxfId="179" priority="20" stopIfTrue="1">
      <formula>(TODAY()-H40)&lt;=days_since_last_2</formula>
    </cfRule>
    <cfRule type="expression" dxfId="178" priority="21" stopIfTrue="1">
      <formula>NOT(ISBLANK(H40))</formula>
    </cfRule>
  </conditionalFormatting>
  <conditionalFormatting sqref="G42">
    <cfRule type="expression" dxfId="177" priority="16" stopIfTrue="1">
      <formula>AND(NOT(ISBLANK(G42)),(TODAY()-G42)&lt;=days_since_last_1)</formula>
    </cfRule>
    <cfRule type="expression" dxfId="176" priority="17" stopIfTrue="1">
      <formula>(TODAY()-G42)&lt;=days_since_last_2</formula>
    </cfRule>
    <cfRule type="expression" dxfId="175" priority="18" stopIfTrue="1">
      <formula>NOT(ISBLANK(G42))</formula>
    </cfRule>
  </conditionalFormatting>
  <conditionalFormatting sqref="G14">
    <cfRule type="expression" dxfId="174" priority="13" stopIfTrue="1">
      <formula>AND(NOT(ISBLANK(G14)),(TODAY()-G14)&lt;=days_since_last_1)</formula>
    </cfRule>
    <cfRule type="expression" dxfId="173" priority="14" stopIfTrue="1">
      <formula>(TODAY()-G14)&lt;=days_since_last_2</formula>
    </cfRule>
    <cfRule type="expression" dxfId="172" priority="15" stopIfTrue="1">
      <formula>NOT(ISBLANK(G14))</formula>
    </cfRule>
  </conditionalFormatting>
  <conditionalFormatting sqref="G38">
    <cfRule type="expression" dxfId="171" priority="10" stopIfTrue="1">
      <formula>AND(NOT(ISBLANK(G38)),(TODAY()-G38)&lt;=days_since_last_1)</formula>
    </cfRule>
    <cfRule type="expression" dxfId="170" priority="11" stopIfTrue="1">
      <formula>(TODAY()-G38)&lt;=days_since_last_2</formula>
    </cfRule>
    <cfRule type="expression" dxfId="169" priority="12" stopIfTrue="1">
      <formula>NOT(ISBLANK(G38))</formula>
    </cfRule>
  </conditionalFormatting>
  <conditionalFormatting sqref="G40">
    <cfRule type="expression" dxfId="168" priority="7" stopIfTrue="1">
      <formula>(G40-TODAY())&gt;=days_until_next_1</formula>
    </cfRule>
    <cfRule type="expression" dxfId="167" priority="8" stopIfTrue="1">
      <formula>(G40-TODAY())&gt;=days_until_next_2</formula>
    </cfRule>
    <cfRule type="expression" dxfId="166" priority="9" stopIfTrue="1">
      <formula>NOT(ISBLANK(G40))</formula>
    </cfRule>
  </conditionalFormatting>
  <conditionalFormatting sqref="G40">
    <cfRule type="expression" dxfId="165" priority="4" stopIfTrue="1">
      <formula>AND(NOT(ISBLANK(G40)),(TODAY()-G40)&lt;=days_since_last_1)</formula>
    </cfRule>
    <cfRule type="expression" dxfId="164" priority="5" stopIfTrue="1">
      <formula>(TODAY()-G40)&lt;=days_since_last_2</formula>
    </cfRule>
    <cfRule type="expression" dxfId="163" priority="6" stopIfTrue="1">
      <formula>NOT(ISBLANK(G40))</formula>
    </cfRule>
  </conditionalFormatting>
  <conditionalFormatting sqref="F46">
    <cfRule type="expression" dxfId="162" priority="1" stopIfTrue="1">
      <formula>(F46-TODAY())&gt;=days_until_next_1</formula>
    </cfRule>
    <cfRule type="expression" dxfId="161" priority="2" stopIfTrue="1">
      <formula>(F46-TODAY())&gt;=days_until_next_2</formula>
    </cfRule>
    <cfRule type="expression" dxfId="160" priority="3" stopIfTrue="1">
      <formula>NOT(ISBLANK(F46))</formula>
    </cfRule>
  </conditionalFormatting>
  <dataValidations count="4">
    <dataValidation type="list" allowBlank="1" showInputMessage="1" showErrorMessage="1" sqref="J25:J69">
      <formula1>lead_source</formula1>
    </dataValidation>
    <dataValidation type="list" allowBlank="1" showInputMessage="1" showErrorMessage="1" sqref="I5:I111">
      <formula1>lead_status</formula1>
    </dataValidation>
    <dataValidation type="list" allowBlank="1" sqref="A5:A19">
      <formula1>#REF!</formula1>
    </dataValidation>
    <dataValidation allowBlank="1" promptTitle="Choose Column Headings" prompt="When this cell is selected, a 2nd down arrow should appear to the right.  Click on this arrow to customize the heading or simply type in your own heading." sqref="A4:K4 M6 M18 M34"/>
  </dataValidations>
  <printOptions horizontalCentered="1"/>
  <pageMargins left="0.5" right="0.5" top="0.5" bottom="0.5" header="0.25" footer="0.25"/>
  <pageSetup scale="56" fitToHeight="0" orientation="landscape" r:id="rId1"/>
  <headerFooter scaleWithDoc="0">
    <oddHeader>&amp;R&amp;8Page &amp;P of &amp;N</oddHeader>
    <oddFooter>&amp;R&amp;8Page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9" operator="equal" id="{E0055350-384B-4021-8208-B32FCDD3F059}">
            <xm:f>تنظیمات!$A$8</xm:f>
            <x14:dxf>
              <fill>
                <patternFill>
                  <bgColor rgb="FFFF9999"/>
                </patternFill>
              </fill>
            </x14:dxf>
          </x14:cfRule>
          <x14:cfRule type="cellIs" priority="30" operator="equal" id="{1CC7B0F6-F61F-405E-AEB3-49CD6458294E}">
            <xm:f>تنظیمات!$A$7</xm:f>
            <x14:dxf>
              <fill>
                <patternFill>
                  <bgColor rgb="FFFFCC99"/>
                </patternFill>
              </fill>
            </x14:dxf>
          </x14:cfRule>
          <x14:cfRule type="cellIs" priority="31" operator="equal" id="{35B06A1E-7BBE-49EB-AC31-09E5B3A3845D}">
            <xm:f>تنظیمات!$A$6</xm:f>
            <x14:dxf>
              <fill>
                <patternFill>
                  <bgColor rgb="FF66CCFF"/>
                </patternFill>
              </fill>
            </x14:dxf>
          </x14:cfRule>
          <xm:sqref>I5:I111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N111"/>
  <sheetViews>
    <sheetView showGridLines="0" showRowColHeaders="0" zoomScaleNormal="100" zoomScaleSheetLayoutView="85" workbookViewId="0">
      <pane ySplit="4" topLeftCell="A5" activePane="bottomLeft" state="frozen"/>
      <selection pane="bottomLeft" activeCell="F23" sqref="F23"/>
    </sheetView>
  </sheetViews>
  <sheetFormatPr defaultColWidth="9.140625" defaultRowHeight="12.75" x14ac:dyDescent="0.2"/>
  <cols>
    <col min="1" max="1" width="16" style="8" customWidth="1"/>
    <col min="2" max="2" width="9.7109375" style="1" customWidth="1"/>
    <col min="3" max="3" width="16.5703125" style="8" customWidth="1"/>
    <col min="4" max="4" width="12.7109375" style="8" customWidth="1"/>
    <col min="5" max="5" width="13.28515625" style="9" customWidth="1"/>
    <col min="6" max="6" width="11.140625" style="1" customWidth="1"/>
    <col min="7" max="7" width="11.42578125" style="1" customWidth="1"/>
    <col min="8" max="8" width="10.7109375" style="1" customWidth="1"/>
    <col min="9" max="9" width="19.5703125" style="1" customWidth="1"/>
    <col min="10" max="10" width="16.5703125" style="1" customWidth="1"/>
    <col min="11" max="11" width="92.5703125" style="1" customWidth="1"/>
    <col min="12" max="12" width="6.42578125" style="1" customWidth="1"/>
    <col min="13" max="13" width="24.85546875" style="1" customWidth="1"/>
    <col min="14" max="14" width="19.140625" style="1" customWidth="1"/>
    <col min="15" max="16384" width="9.140625" style="1"/>
  </cols>
  <sheetData>
    <row r="1" spans="1:14" x14ac:dyDescent="0.2">
      <c r="A1" s="33" t="s">
        <v>1</v>
      </c>
      <c r="D1" s="8" t="s">
        <v>0</v>
      </c>
    </row>
    <row r="2" spans="1:14" x14ac:dyDescent="0.2">
      <c r="A2" s="8" t="s">
        <v>31</v>
      </c>
      <c r="M2" s="12"/>
    </row>
    <row r="3" spans="1:14" ht="28.5" customHeight="1" x14ac:dyDescent="0.2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N3" s="2"/>
    </row>
    <row r="4" spans="1:14" ht="25.5" x14ac:dyDescent="0.2">
      <c r="A4" s="13" t="s">
        <v>2</v>
      </c>
      <c r="B4" s="13" t="s">
        <v>3</v>
      </c>
      <c r="C4" s="13" t="s">
        <v>12</v>
      </c>
      <c r="D4" s="13" t="s">
        <v>4</v>
      </c>
      <c r="E4" s="39" t="s">
        <v>11</v>
      </c>
      <c r="F4" s="13" t="s">
        <v>10</v>
      </c>
      <c r="G4" s="13" t="s">
        <v>9</v>
      </c>
      <c r="H4" s="13" t="s">
        <v>8</v>
      </c>
      <c r="I4" s="13" t="s">
        <v>7</v>
      </c>
      <c r="J4" s="13" t="s">
        <v>6</v>
      </c>
      <c r="K4" s="13" t="s">
        <v>5</v>
      </c>
    </row>
    <row r="5" spans="1:14" s="7" customFormat="1" x14ac:dyDescent="0.2">
      <c r="A5" t="s">
        <v>156</v>
      </c>
      <c r="B5" s="3" t="str">
        <f>IFERROR(VLOOKUP($A5,#REF!,2,FALSE),"-")</f>
        <v>-</v>
      </c>
      <c r="C5" s="3" t="s">
        <v>73</v>
      </c>
      <c r="D5">
        <v>9183930221</v>
      </c>
      <c r="E5" s="38"/>
      <c r="F5" s="40"/>
      <c r="G5" s="5"/>
      <c r="H5" s="4"/>
      <c r="I5" s="6"/>
      <c r="J5" s="17"/>
      <c r="K5" s="3"/>
    </row>
    <row r="6" spans="1:14" s="7" customFormat="1" ht="13.5" customHeight="1" x14ac:dyDescent="0.2">
      <c r="A6" t="s">
        <v>157</v>
      </c>
      <c r="B6" s="3" t="str">
        <f>IFERROR(VLOOKUP($A6,#REF!,2,FALSE),"-")</f>
        <v>-</v>
      </c>
      <c r="C6" s="3" t="s">
        <v>73</v>
      </c>
      <c r="D6">
        <v>9181663046</v>
      </c>
      <c r="E6" s="38"/>
      <c r="F6" s="41"/>
      <c r="G6" s="5"/>
      <c r="H6" s="4"/>
      <c r="I6" s="36"/>
      <c r="J6" s="17"/>
      <c r="K6" s="3"/>
      <c r="M6" s="30" t="s">
        <v>13</v>
      </c>
    </row>
    <row r="7" spans="1:14" s="7" customFormat="1" ht="13.5" customHeight="1" x14ac:dyDescent="0.2">
      <c r="A7" t="s">
        <v>158</v>
      </c>
      <c r="B7" s="3" t="str">
        <f>IFERROR(VLOOKUP($A7,#REF!,2,FALSE),"-")</f>
        <v>-</v>
      </c>
      <c r="C7" s="3" t="s">
        <v>71</v>
      </c>
      <c r="D7">
        <v>9188666323</v>
      </c>
      <c r="E7" s="38"/>
      <c r="F7" s="4"/>
      <c r="G7" s="5"/>
      <c r="H7" s="4"/>
      <c r="I7" s="37"/>
      <c r="J7" s="17"/>
      <c r="K7" s="3"/>
      <c r="M7" s="18"/>
    </row>
    <row r="8" spans="1:14" s="7" customFormat="1" x14ac:dyDescent="0.2">
      <c r="A8" t="s">
        <v>159</v>
      </c>
      <c r="B8" s="3" t="str">
        <f>IFERROR(VLOOKUP($A8,#REF!,2,FALSE),"-")</f>
        <v>-</v>
      </c>
      <c r="C8" s="3" t="s">
        <v>70</v>
      </c>
      <c r="D8">
        <v>9183693656</v>
      </c>
      <c r="E8" s="38"/>
      <c r="F8" s="4"/>
      <c r="G8" s="5"/>
      <c r="H8" s="4"/>
      <c r="I8" s="44"/>
      <c r="J8" s="17"/>
      <c r="K8" s="3"/>
      <c r="M8" s="23" t="s">
        <v>15</v>
      </c>
    </row>
    <row r="9" spans="1:14" s="7" customFormat="1" x14ac:dyDescent="0.2">
      <c r="A9" t="s">
        <v>160</v>
      </c>
      <c r="B9" s="3" t="str">
        <f>IFERROR(VLOOKUP($A9,#REF!,2,FALSE),"-")</f>
        <v>-</v>
      </c>
      <c r="C9" s="3" t="s">
        <v>70</v>
      </c>
      <c r="D9">
        <v>9188663770</v>
      </c>
      <c r="E9" s="38"/>
      <c r="F9" s="4"/>
      <c r="G9" s="5"/>
      <c r="H9" s="4"/>
      <c r="I9" s="43"/>
      <c r="J9" s="17"/>
      <c r="K9" s="3"/>
      <c r="M9" s="24">
        <v>2</v>
      </c>
    </row>
    <row r="10" spans="1:14" s="7" customFormat="1" x14ac:dyDescent="0.2">
      <c r="A10" t="s">
        <v>161</v>
      </c>
      <c r="B10" s="3" t="str">
        <f>IFERROR(VLOOKUP($A10,#REF!,2,FALSE),"-")</f>
        <v>-</v>
      </c>
      <c r="C10" s="3" t="s">
        <v>70</v>
      </c>
      <c r="D10">
        <v>9188470094</v>
      </c>
      <c r="E10" s="38"/>
      <c r="F10" s="4"/>
      <c r="G10" s="5"/>
      <c r="H10" s="4"/>
      <c r="I10" s="36"/>
      <c r="J10" s="17"/>
      <c r="K10" s="3"/>
      <c r="M10" s="26">
        <v>5</v>
      </c>
    </row>
    <row r="11" spans="1:14" s="7" customFormat="1" x14ac:dyDescent="0.2">
      <c r="A11" t="s">
        <v>162</v>
      </c>
      <c r="B11" s="3" t="str">
        <f>IFERROR(VLOOKUP($A11,#REF!,2,FALSE),"-")</f>
        <v>-</v>
      </c>
      <c r="C11" s="3" t="s">
        <v>70</v>
      </c>
      <c r="D11">
        <v>9394522871</v>
      </c>
      <c r="E11" s="38"/>
      <c r="F11" s="4"/>
      <c r="G11" s="5"/>
      <c r="H11" s="4"/>
      <c r="I11" s="36"/>
      <c r="J11" s="17"/>
      <c r="K11" s="3"/>
      <c r="M11" s="27" t="str">
        <f>"&gt; "&amp;days_since_last_2</f>
        <v>&gt; 6</v>
      </c>
    </row>
    <row r="12" spans="1:14" s="7" customFormat="1" x14ac:dyDescent="0.2">
      <c r="A12" t="s">
        <v>163</v>
      </c>
      <c r="B12" s="3" t="str">
        <f>IFERROR(VLOOKUP($A12,#REF!,2,FALSE),"-")</f>
        <v>-</v>
      </c>
      <c r="C12" s="3" t="s">
        <v>70</v>
      </c>
      <c r="D12">
        <v>9187650262</v>
      </c>
      <c r="E12" s="38"/>
      <c r="F12" s="4"/>
      <c r="G12" s="5"/>
      <c r="H12" s="4"/>
      <c r="I12" s="37"/>
      <c r="J12" s="17"/>
      <c r="K12" s="3"/>
      <c r="M12" s="14"/>
    </row>
    <row r="13" spans="1:14" s="7" customFormat="1" x14ac:dyDescent="0.2">
      <c r="A13" t="s">
        <v>164</v>
      </c>
      <c r="B13" s="3" t="str">
        <f>IFERROR(VLOOKUP($A13,#REF!,2,FALSE),"-")</f>
        <v>-</v>
      </c>
      <c r="C13" s="3" t="s">
        <v>70</v>
      </c>
      <c r="D13">
        <v>9306231889</v>
      </c>
      <c r="E13" s="38"/>
      <c r="F13" s="4"/>
      <c r="G13" s="5"/>
      <c r="H13" s="4"/>
      <c r="I13" s="36"/>
      <c r="J13" s="17"/>
      <c r="K13" s="3"/>
      <c r="M13" s="23" t="s">
        <v>14</v>
      </c>
    </row>
    <row r="14" spans="1:14" s="7" customFormat="1" x14ac:dyDescent="0.2">
      <c r="A14" t="s">
        <v>165</v>
      </c>
      <c r="B14" s="45" t="str">
        <f>IFERROR(VLOOKUP($A14,#REF!,2,FALSE),"-")</f>
        <v>-</v>
      </c>
      <c r="C14" s="3" t="s">
        <v>70</v>
      </c>
      <c r="D14">
        <v>9189651427</v>
      </c>
      <c r="E14" s="38"/>
      <c r="F14" s="4"/>
      <c r="G14" s="4"/>
      <c r="H14" s="4"/>
      <c r="I14" s="5"/>
      <c r="J14" s="17"/>
      <c r="K14" s="3"/>
      <c r="M14" s="24">
        <v>10</v>
      </c>
    </row>
    <row r="15" spans="1:14" s="7" customFormat="1" x14ac:dyDescent="0.2">
      <c r="A15" t="s">
        <v>166</v>
      </c>
      <c r="B15" s="45" t="str">
        <f>IFERROR(VLOOKUP($A15,#REF!,2,FALSE),"-")</f>
        <v>-</v>
      </c>
      <c r="C15" s="3" t="s">
        <v>70</v>
      </c>
      <c r="D15">
        <v>9186432775</v>
      </c>
      <c r="E15" s="38"/>
      <c r="F15" s="4"/>
      <c r="G15" s="5"/>
      <c r="H15" s="4"/>
      <c r="I15" s="5"/>
      <c r="J15" s="17"/>
      <c r="K15" s="3"/>
      <c r="M15" s="26">
        <v>5</v>
      </c>
    </row>
    <row r="16" spans="1:14" s="7" customFormat="1" x14ac:dyDescent="0.2">
      <c r="A16" t="s">
        <v>167</v>
      </c>
      <c r="B16" s="45" t="str">
        <f>IFERROR(VLOOKUP($A16,#REF!,2,FALSE),"-")</f>
        <v>-</v>
      </c>
      <c r="C16" s="3" t="s">
        <v>70</v>
      </c>
      <c r="D16">
        <v>9189652013</v>
      </c>
      <c r="E16" s="38"/>
      <c r="F16" s="4"/>
      <c r="G16" s="5"/>
      <c r="H16" s="4"/>
      <c r="I16" s="43"/>
      <c r="J16" s="17"/>
      <c r="K16" s="3"/>
      <c r="M16" s="27" t="str">
        <f>"&lt; "&amp;days_until_next_2</f>
        <v>&lt; 4</v>
      </c>
    </row>
    <row r="17" spans="1:13" s="7" customFormat="1" x14ac:dyDescent="0.2">
      <c r="A17" t="s">
        <v>168</v>
      </c>
      <c r="B17" s="45" t="str">
        <f>IFERROR(VLOOKUP($A17,#REF!,2,FALSE),"-")</f>
        <v>-</v>
      </c>
      <c r="C17" s="3" t="s">
        <v>70</v>
      </c>
      <c r="D17">
        <v>9185265028</v>
      </c>
      <c r="E17" s="38"/>
      <c r="F17" s="4"/>
      <c r="G17" s="5"/>
      <c r="H17" s="4"/>
      <c r="I17" s="43"/>
      <c r="J17" s="17"/>
      <c r="K17" s="3"/>
    </row>
    <row r="18" spans="1:13" s="7" customFormat="1" x14ac:dyDescent="0.2">
      <c r="A18" t="s">
        <v>169</v>
      </c>
      <c r="B18" s="45" t="str">
        <f>IFERROR(VLOOKUP($A18,#REF!,2,FALSE),"-")</f>
        <v>-</v>
      </c>
      <c r="C18" s="3" t="s">
        <v>70</v>
      </c>
      <c r="D18">
        <v>9123393514</v>
      </c>
      <c r="E18" s="38"/>
      <c r="F18" s="4"/>
      <c r="G18" s="5"/>
      <c r="H18" s="4"/>
      <c r="I18" s="37"/>
      <c r="J18" s="17"/>
      <c r="K18" s="3"/>
      <c r="M18" s="29" t="s">
        <v>6</v>
      </c>
    </row>
    <row r="19" spans="1:13" s="7" customFormat="1" x14ac:dyDescent="0.2">
      <c r="A19" t="s">
        <v>170</v>
      </c>
      <c r="B19" s="45" t="str">
        <f>IFERROR(VLOOKUP($A19,#REF!,2,FALSE),"-")</f>
        <v>-</v>
      </c>
      <c r="C19" s="3" t="s">
        <v>70</v>
      </c>
      <c r="D19">
        <v>9189652101</v>
      </c>
      <c r="E19" s="38"/>
      <c r="F19" s="4"/>
      <c r="G19" s="5"/>
      <c r="H19" s="4"/>
      <c r="I19" s="42"/>
      <c r="J19" s="17"/>
      <c r="K19" s="3"/>
      <c r="M19" s="17"/>
    </row>
    <row r="20" spans="1:13" x14ac:dyDescent="0.2">
      <c r="A20" t="s">
        <v>171</v>
      </c>
      <c r="B20" s="45" t="str">
        <f>IFERROR(VLOOKUP($A20,#REF!,2,FALSE),"-")</f>
        <v>-</v>
      </c>
      <c r="C20" s="3" t="s">
        <v>70</v>
      </c>
      <c r="D20">
        <v>9188664491</v>
      </c>
      <c r="E20" s="38"/>
      <c r="F20" s="4"/>
      <c r="G20" s="5"/>
      <c r="H20" s="4"/>
      <c r="I20" s="42"/>
      <c r="J20" s="17"/>
      <c r="K20" s="3"/>
      <c r="M20" s="17" t="s">
        <v>32</v>
      </c>
    </row>
    <row r="21" spans="1:13" x14ac:dyDescent="0.2">
      <c r="A21" t="s">
        <v>172</v>
      </c>
      <c r="B21" s="45" t="str">
        <f>IFERROR(VLOOKUP($A21,#REF!,2,FALSE),"-")</f>
        <v>-</v>
      </c>
      <c r="C21" s="3" t="s">
        <v>70</v>
      </c>
      <c r="D21">
        <v>9194623385</v>
      </c>
      <c r="E21" s="38"/>
      <c r="F21" s="4"/>
      <c r="G21" s="5"/>
      <c r="H21" s="4"/>
      <c r="I21" s="36"/>
      <c r="J21" s="17"/>
      <c r="K21" s="3"/>
      <c r="M21" s="17" t="s">
        <v>33</v>
      </c>
    </row>
    <row r="22" spans="1:13" x14ac:dyDescent="0.2">
      <c r="A22" t="s">
        <v>173</v>
      </c>
      <c r="B22" s="45" t="str">
        <f>IFERROR(VLOOKUP($A22,#REF!,2,FALSE),"-")</f>
        <v>-</v>
      </c>
      <c r="C22" s="3" t="s">
        <v>70</v>
      </c>
      <c r="D22">
        <v>9359176849</v>
      </c>
      <c r="E22" s="38"/>
      <c r="F22" s="4"/>
      <c r="G22" s="5"/>
      <c r="H22" s="4"/>
      <c r="I22" s="36"/>
      <c r="J22" s="17"/>
      <c r="K22" s="3"/>
      <c r="M22" s="17" t="s">
        <v>34</v>
      </c>
    </row>
    <row r="23" spans="1:13" x14ac:dyDescent="0.2">
      <c r="A23" t="s">
        <v>174</v>
      </c>
      <c r="B23" s="45" t="str">
        <f>IFERROR(VLOOKUP($A23,#REF!,2,FALSE),"-")</f>
        <v>-</v>
      </c>
      <c r="C23" s="3" t="s">
        <v>70</v>
      </c>
      <c r="D23">
        <v>9183663900</v>
      </c>
      <c r="E23" s="38"/>
      <c r="F23" s="4"/>
      <c r="G23" s="5"/>
      <c r="H23" s="4"/>
      <c r="I23" s="36"/>
      <c r="J23" s="17"/>
      <c r="K23" s="3"/>
      <c r="M23" s="17" t="s">
        <v>35</v>
      </c>
    </row>
    <row r="24" spans="1:13" x14ac:dyDescent="0.2">
      <c r="A24" t="s">
        <v>175</v>
      </c>
      <c r="B24" s="45" t="str">
        <f>IFERROR(VLOOKUP($A24,#REF!,2,FALSE),"-")</f>
        <v>-</v>
      </c>
      <c r="C24" s="3" t="s">
        <v>70</v>
      </c>
      <c r="D24">
        <v>9189668421</v>
      </c>
      <c r="E24" s="38"/>
      <c r="F24" s="4"/>
      <c r="G24" s="5"/>
      <c r="H24" s="4"/>
      <c r="I24" s="5"/>
      <c r="J24" s="17"/>
      <c r="K24" s="3"/>
      <c r="M24" s="17" t="s">
        <v>36</v>
      </c>
    </row>
    <row r="25" spans="1:13" x14ac:dyDescent="0.2">
      <c r="A25" t="s">
        <v>176</v>
      </c>
      <c r="B25" s="45" t="str">
        <f>IFERROR(VLOOKUP($A25,#REF!,2,FALSE),"-")</f>
        <v>-</v>
      </c>
      <c r="C25" s="3" t="s">
        <v>70</v>
      </c>
      <c r="D25">
        <v>9183667014</v>
      </c>
      <c r="E25" s="38"/>
      <c r="F25" s="4"/>
      <c r="G25" s="5"/>
      <c r="H25" s="4"/>
      <c r="I25" s="37"/>
      <c r="J25" s="3"/>
      <c r="K25" s="3"/>
      <c r="M25" s="17"/>
    </row>
    <row r="26" spans="1:13" x14ac:dyDescent="0.2">
      <c r="A26" t="s">
        <v>177</v>
      </c>
      <c r="B26" s="45" t="str">
        <f>IFERROR(VLOOKUP($A26,#REF!,2,FALSE),"-")</f>
        <v>-</v>
      </c>
      <c r="C26" s="3" t="s">
        <v>70</v>
      </c>
      <c r="D26">
        <v>9126798202</v>
      </c>
      <c r="E26" s="38"/>
      <c r="F26" s="4"/>
      <c r="G26" s="5"/>
      <c r="H26" s="4"/>
      <c r="I26" s="5"/>
      <c r="J26" s="3"/>
      <c r="K26" s="3"/>
      <c r="M26" s="17"/>
    </row>
    <row r="27" spans="1:13" x14ac:dyDescent="0.2">
      <c r="A27" t="s">
        <v>178</v>
      </c>
      <c r="B27" s="45" t="str">
        <f>IFERROR(VLOOKUP($A27,#REF!,2,FALSE),"-")</f>
        <v>-</v>
      </c>
      <c r="C27" s="3" t="s">
        <v>70</v>
      </c>
      <c r="D27">
        <v>9197748279</v>
      </c>
      <c r="E27" s="38"/>
      <c r="F27" s="4"/>
      <c r="G27" s="5"/>
      <c r="H27" s="4"/>
      <c r="I27" s="37"/>
      <c r="J27" s="3"/>
      <c r="K27" s="3"/>
      <c r="M27" s="17"/>
    </row>
    <row r="28" spans="1:13" x14ac:dyDescent="0.2">
      <c r="A28" t="s">
        <v>179</v>
      </c>
      <c r="B28" s="45" t="str">
        <f>IFERROR(VLOOKUP($A28,#REF!,2,FALSE),"-")</f>
        <v>-</v>
      </c>
      <c r="C28" s="3" t="s">
        <v>70</v>
      </c>
      <c r="D28">
        <v>9189669242</v>
      </c>
      <c r="E28" s="38"/>
      <c r="F28" s="4"/>
      <c r="G28" s="5"/>
      <c r="H28" s="4"/>
      <c r="I28" s="5"/>
      <c r="J28" s="3"/>
      <c r="K28" s="3"/>
      <c r="M28" s="17"/>
    </row>
    <row r="29" spans="1:13" x14ac:dyDescent="0.2">
      <c r="A29" t="s">
        <v>180</v>
      </c>
      <c r="B29" s="45" t="str">
        <f>IFERROR(VLOOKUP($A29,#REF!,2,FALSE),"-")</f>
        <v>-</v>
      </c>
      <c r="C29" s="3" t="s">
        <v>70</v>
      </c>
      <c r="D29">
        <v>9108070812</v>
      </c>
      <c r="E29" s="38"/>
      <c r="F29" s="4"/>
      <c r="G29" s="5"/>
      <c r="H29" s="4"/>
      <c r="I29" s="44"/>
      <c r="J29" s="3"/>
      <c r="K29" s="3"/>
      <c r="M29" s="17"/>
    </row>
    <row r="30" spans="1:13" x14ac:dyDescent="0.2">
      <c r="A30" t="s">
        <v>181</v>
      </c>
      <c r="B30" s="45" t="str">
        <f>IFERROR(VLOOKUP($A30,#REF!,2,FALSE),"-")</f>
        <v>-</v>
      </c>
      <c r="C30" s="3" t="s">
        <v>70</v>
      </c>
      <c r="D30">
        <v>9101077830</v>
      </c>
      <c r="E30" s="38"/>
      <c r="F30" s="4"/>
      <c r="G30" s="5"/>
      <c r="H30" s="4"/>
      <c r="I30" s="37"/>
      <c r="J30" s="3"/>
      <c r="K30" s="3"/>
      <c r="M30" s="17"/>
    </row>
    <row r="31" spans="1:13" x14ac:dyDescent="0.2">
      <c r="A31" t="s">
        <v>182</v>
      </c>
      <c r="B31" s="45" t="str">
        <f>IFERROR(VLOOKUP($A31,#REF!,2,FALSE),"-")</f>
        <v>-</v>
      </c>
      <c r="C31" s="3" t="s">
        <v>70</v>
      </c>
      <c r="D31">
        <v>9187619762</v>
      </c>
      <c r="E31" s="38"/>
      <c r="F31" s="4"/>
      <c r="G31" s="5"/>
      <c r="H31" s="4"/>
      <c r="I31" s="37"/>
      <c r="J31" s="3"/>
      <c r="K31" s="3"/>
      <c r="M31" s="16"/>
    </row>
    <row r="32" spans="1:13" x14ac:dyDescent="0.2">
      <c r="A32" t="s">
        <v>183</v>
      </c>
      <c r="B32" s="45" t="str">
        <f>IFERROR(VLOOKUP($A32,#REF!,2,FALSE),"-")</f>
        <v>-</v>
      </c>
      <c r="C32" s="3" t="s">
        <v>70</v>
      </c>
      <c r="D32">
        <v>9130811387</v>
      </c>
      <c r="E32" s="38"/>
      <c r="F32" s="4"/>
      <c r="G32" s="5"/>
      <c r="H32" s="4"/>
      <c r="I32" s="37"/>
      <c r="J32" s="3"/>
      <c r="K32" s="3"/>
      <c r="L32" s="10"/>
      <c r="M32" s="16"/>
    </row>
    <row r="33" spans="1:13" x14ac:dyDescent="0.2">
      <c r="A33" t="s">
        <v>184</v>
      </c>
      <c r="B33" s="45" t="str">
        <f>IFERROR(VLOOKUP($A33,#REF!,2,FALSE),"-")</f>
        <v>-</v>
      </c>
      <c r="C33" s="3" t="s">
        <v>70</v>
      </c>
      <c r="D33">
        <v>9181654735</v>
      </c>
      <c r="E33" s="38"/>
      <c r="F33" s="4"/>
      <c r="G33" s="5"/>
      <c r="H33" s="4"/>
      <c r="I33" s="5"/>
      <c r="J33" s="3"/>
      <c r="K33" s="3"/>
      <c r="L33" s="10"/>
    </row>
    <row r="34" spans="1:13" x14ac:dyDescent="0.2">
      <c r="A34" t="s">
        <v>185</v>
      </c>
      <c r="B34" s="45" t="str">
        <f>IFERROR(VLOOKUP($A34,#REF!,2,FALSE),"-")</f>
        <v>-</v>
      </c>
      <c r="C34" s="3" t="s">
        <v>70</v>
      </c>
      <c r="D34">
        <v>9138016368</v>
      </c>
      <c r="E34" s="38"/>
      <c r="F34" s="4"/>
      <c r="G34" s="5"/>
      <c r="H34" s="4"/>
      <c r="I34" s="5"/>
      <c r="J34" s="3"/>
      <c r="K34" s="3"/>
      <c r="L34" s="10"/>
      <c r="M34" s="29" t="s">
        <v>7</v>
      </c>
    </row>
    <row r="35" spans="1:13" x14ac:dyDescent="0.2">
      <c r="A35" t="s">
        <v>186</v>
      </c>
      <c r="B35" s="45" t="str">
        <f>IFERROR(VLOOKUP($A35,#REF!,2,FALSE),"-")</f>
        <v>-</v>
      </c>
      <c r="C35" s="3" t="s">
        <v>70</v>
      </c>
      <c r="D35">
        <v>9188651470</v>
      </c>
      <c r="E35" s="38"/>
      <c r="F35" s="4"/>
      <c r="G35" s="5"/>
      <c r="H35" s="4"/>
      <c r="I35" s="44"/>
      <c r="J35" s="3"/>
      <c r="K35" s="3"/>
      <c r="L35" s="10"/>
      <c r="M35" s="16"/>
    </row>
    <row r="36" spans="1:13" x14ac:dyDescent="0.2">
      <c r="A36" t="s">
        <v>187</v>
      </c>
      <c r="B36" s="45" t="str">
        <f>IFERROR(VLOOKUP($A36,#REF!,2,FALSE),"-")</f>
        <v>-</v>
      </c>
      <c r="C36" s="3" t="s">
        <v>70</v>
      </c>
      <c r="D36">
        <v>9125259064</v>
      </c>
      <c r="E36" s="38"/>
      <c r="F36" s="4"/>
      <c r="G36" s="5"/>
      <c r="H36" s="4"/>
      <c r="I36" s="37"/>
      <c r="J36" s="3"/>
      <c r="K36" s="3"/>
      <c r="L36" s="10"/>
      <c r="M36" s="17" t="s">
        <v>20</v>
      </c>
    </row>
    <row r="37" spans="1:13" x14ac:dyDescent="0.2">
      <c r="A37" t="s">
        <v>188</v>
      </c>
      <c r="B37" s="45" t="str">
        <f>IFERROR(VLOOKUP($A37,#REF!,2,FALSE),"-")</f>
        <v>-</v>
      </c>
      <c r="C37" s="3" t="s">
        <v>70</v>
      </c>
      <c r="D37">
        <v>9195720667</v>
      </c>
      <c r="E37" s="38"/>
      <c r="F37" s="4"/>
      <c r="G37" s="5"/>
      <c r="H37" s="4"/>
      <c r="I37" s="37"/>
      <c r="J37" s="3"/>
      <c r="K37" s="3"/>
      <c r="L37" s="10"/>
      <c r="M37" s="17" t="s">
        <v>21</v>
      </c>
    </row>
    <row r="38" spans="1:13" x14ac:dyDescent="0.2">
      <c r="A38" t="s">
        <v>189</v>
      </c>
      <c r="B38" s="45" t="str">
        <f>IFERROR(VLOOKUP($A38,#REF!,2,FALSE),"-")</f>
        <v>-</v>
      </c>
      <c r="C38" s="3" t="s">
        <v>70</v>
      </c>
      <c r="D38">
        <v>9187603294</v>
      </c>
      <c r="E38" s="38"/>
      <c r="F38" s="4"/>
      <c r="G38" s="4"/>
      <c r="H38" s="4"/>
      <c r="I38" s="36"/>
      <c r="J38" s="3"/>
      <c r="K38" s="3"/>
      <c r="L38" s="10"/>
      <c r="M38" s="25" t="s">
        <v>22</v>
      </c>
    </row>
    <row r="39" spans="1:13" x14ac:dyDescent="0.2">
      <c r="A39" t="s">
        <v>190</v>
      </c>
      <c r="B39" s="45" t="str">
        <f>IFERROR(VLOOKUP($A39,#REF!,2,FALSE),"-")</f>
        <v>-</v>
      </c>
      <c r="C39" s="3" t="s">
        <v>70</v>
      </c>
      <c r="D39">
        <v>9328821208</v>
      </c>
      <c r="E39" s="38"/>
      <c r="F39" s="4"/>
      <c r="G39" s="5"/>
      <c r="H39" s="4"/>
      <c r="I39" s="44"/>
      <c r="J39" s="3"/>
      <c r="K39" s="3"/>
      <c r="L39" s="10"/>
      <c r="M39" s="25" t="s">
        <v>23</v>
      </c>
    </row>
    <row r="40" spans="1:13" x14ac:dyDescent="0.2">
      <c r="A40" t="s">
        <v>191</v>
      </c>
      <c r="B40" s="45" t="str">
        <f>IFERROR(VLOOKUP($A40,#REF!,2,FALSE),"-")</f>
        <v>-</v>
      </c>
      <c r="C40" s="3" t="s">
        <v>70</v>
      </c>
      <c r="D40">
        <v>9193369328</v>
      </c>
      <c r="E40" s="38"/>
      <c r="F40" s="4"/>
      <c r="G40" s="4"/>
      <c r="H40" s="4"/>
      <c r="I40" s="37"/>
      <c r="J40" s="3"/>
      <c r="K40" s="3"/>
      <c r="M40" s="25" t="s">
        <v>24</v>
      </c>
    </row>
    <row r="41" spans="1:13" x14ac:dyDescent="0.2">
      <c r="A41" t="s">
        <v>192</v>
      </c>
      <c r="B41" s="45" t="str">
        <f>IFERROR(VLOOKUP($A41,#REF!,2,FALSE),"-")</f>
        <v>-</v>
      </c>
      <c r="C41" s="3" t="s">
        <v>70</v>
      </c>
      <c r="D41">
        <v>9189651962</v>
      </c>
      <c r="E41" s="38"/>
      <c r="F41" s="4"/>
      <c r="G41" s="5"/>
      <c r="H41" s="4"/>
      <c r="I41" s="37"/>
      <c r="J41" s="3"/>
      <c r="K41" s="3"/>
      <c r="M41" s="25" t="s">
        <v>25</v>
      </c>
    </row>
    <row r="42" spans="1:13" x14ac:dyDescent="0.2">
      <c r="A42" t="s">
        <v>193</v>
      </c>
      <c r="B42" s="45" t="str">
        <f>IFERROR(VLOOKUP($A42,#REF!,2,FALSE),"-")</f>
        <v>-</v>
      </c>
      <c r="C42" s="3" t="s">
        <v>70</v>
      </c>
      <c r="D42">
        <v>9189647585</v>
      </c>
      <c r="E42" s="38"/>
      <c r="F42" s="4"/>
      <c r="G42" s="4"/>
      <c r="H42" s="4"/>
      <c r="I42" s="36"/>
      <c r="J42" s="3"/>
      <c r="K42" s="3"/>
      <c r="M42" s="25" t="s">
        <v>26</v>
      </c>
    </row>
    <row r="43" spans="1:13" x14ac:dyDescent="0.2">
      <c r="A43" t="s">
        <v>194</v>
      </c>
      <c r="B43" s="45" t="str">
        <f>IFERROR(VLOOKUP($A43,#REF!,2,FALSE),"-")</f>
        <v>-</v>
      </c>
      <c r="C43" s="3" t="s">
        <v>70</v>
      </c>
      <c r="D43">
        <v>9019180266</v>
      </c>
      <c r="E43" s="38"/>
      <c r="F43" s="4"/>
      <c r="G43" s="5"/>
      <c r="H43" s="4"/>
      <c r="I43" s="5"/>
      <c r="J43" s="3"/>
      <c r="K43" s="3"/>
      <c r="M43" s="17" t="s">
        <v>27</v>
      </c>
    </row>
    <row r="44" spans="1:13" x14ac:dyDescent="0.2">
      <c r="A44" t="s">
        <v>195</v>
      </c>
      <c r="B44" s="45" t="str">
        <f>IFERROR(VLOOKUP($A44,#REF!,2,FALSE),"-")</f>
        <v>-</v>
      </c>
      <c r="C44" s="3" t="s">
        <v>70</v>
      </c>
      <c r="D44">
        <v>9133259991</v>
      </c>
      <c r="E44" s="38"/>
      <c r="F44" s="4"/>
      <c r="G44" s="5"/>
      <c r="H44" s="4"/>
      <c r="I44" s="5"/>
      <c r="J44" s="3"/>
      <c r="K44" s="3"/>
      <c r="M44" s="17" t="s">
        <v>28</v>
      </c>
    </row>
    <row r="45" spans="1:13" x14ac:dyDescent="0.2">
      <c r="A45" t="s">
        <v>196</v>
      </c>
      <c r="B45" s="45" t="str">
        <f>IFERROR(VLOOKUP($A45,#REF!,2,FALSE),"-")</f>
        <v>-</v>
      </c>
      <c r="C45" s="3" t="s">
        <v>70</v>
      </c>
      <c r="D45">
        <v>9307064655</v>
      </c>
      <c r="E45" s="38"/>
      <c r="F45" s="4"/>
      <c r="G45" s="5"/>
      <c r="H45" s="4"/>
      <c r="I45" s="5"/>
      <c r="J45" s="3"/>
      <c r="K45" s="3"/>
      <c r="M45" s="17" t="s">
        <v>29</v>
      </c>
    </row>
    <row r="46" spans="1:13" x14ac:dyDescent="0.2">
      <c r="A46" t="s">
        <v>197</v>
      </c>
      <c r="B46" s="45" t="str">
        <f>IFERROR(VLOOKUP($A46,#REF!,2,FALSE),"-")</f>
        <v>-</v>
      </c>
      <c r="C46" s="3" t="s">
        <v>70</v>
      </c>
      <c r="D46">
        <v>9184854950</v>
      </c>
      <c r="E46" s="38"/>
      <c r="F46" s="4"/>
      <c r="G46" s="5"/>
      <c r="H46" s="4"/>
      <c r="I46" s="5"/>
      <c r="J46" s="3"/>
      <c r="K46" s="3"/>
      <c r="M46" s="17" t="s">
        <v>30</v>
      </c>
    </row>
    <row r="47" spans="1:13" x14ac:dyDescent="0.2">
      <c r="A47" t="s">
        <v>198</v>
      </c>
      <c r="B47" s="45" t="str">
        <f>IFERROR(VLOOKUP($A47,#REF!,2,FALSE),"-")</f>
        <v>-</v>
      </c>
      <c r="C47" s="3" t="s">
        <v>70</v>
      </c>
      <c r="D47">
        <v>9337377565</v>
      </c>
      <c r="E47" s="38"/>
      <c r="F47" s="4"/>
      <c r="G47" s="5"/>
      <c r="H47" s="4"/>
      <c r="I47" s="5"/>
      <c r="J47" s="3"/>
      <c r="K47" s="3"/>
      <c r="M47" s="17"/>
    </row>
    <row r="48" spans="1:13" x14ac:dyDescent="0.2">
      <c r="A48" t="s">
        <v>199</v>
      </c>
      <c r="B48" s="45" t="str">
        <f>IFERROR(VLOOKUP($A48,#REF!,2,FALSE),"-")</f>
        <v>-</v>
      </c>
      <c r="C48" s="3" t="s">
        <v>70</v>
      </c>
      <c r="D48">
        <v>9393068441</v>
      </c>
      <c r="E48" s="38"/>
      <c r="F48" s="4"/>
      <c r="G48" s="5"/>
      <c r="H48" s="4"/>
      <c r="I48" s="5"/>
      <c r="J48" s="3"/>
      <c r="K48" s="3"/>
      <c r="M48" s="17"/>
    </row>
    <row r="49" spans="1:11" x14ac:dyDescent="0.2">
      <c r="A49" t="s">
        <v>200</v>
      </c>
      <c r="B49" s="45" t="str">
        <f>IFERROR(VLOOKUP($A49,#REF!,2,FALSE),"-")</f>
        <v>-</v>
      </c>
      <c r="C49" s="3" t="s">
        <v>70</v>
      </c>
      <c r="D49">
        <v>9189651730</v>
      </c>
      <c r="E49" s="38"/>
      <c r="F49" s="4"/>
      <c r="G49" s="5"/>
      <c r="H49" s="4"/>
      <c r="I49" s="5"/>
      <c r="J49" s="3"/>
      <c r="K49" s="3"/>
    </row>
    <row r="50" spans="1:11" x14ac:dyDescent="0.2">
      <c r="A50" t="s">
        <v>201</v>
      </c>
      <c r="B50" s="45" t="str">
        <f>IFERROR(VLOOKUP($A50,#REF!,2,FALSE),"-")</f>
        <v>-</v>
      </c>
      <c r="C50" s="3" t="s">
        <v>70</v>
      </c>
      <c r="D50">
        <v>9106511534</v>
      </c>
      <c r="E50" s="38"/>
      <c r="F50" s="4"/>
      <c r="G50" s="5"/>
      <c r="H50" s="4"/>
      <c r="I50" s="5"/>
      <c r="J50" s="3"/>
      <c r="K50" s="3"/>
    </row>
    <row r="51" spans="1:11" x14ac:dyDescent="0.2">
      <c r="A51" t="s">
        <v>202</v>
      </c>
      <c r="B51" s="45" t="str">
        <f>IFERROR(VLOOKUP($A51,#REF!,2,FALSE),"-")</f>
        <v>-</v>
      </c>
      <c r="C51" s="3" t="s">
        <v>70</v>
      </c>
      <c r="D51">
        <v>9188652392</v>
      </c>
      <c r="E51" s="38"/>
      <c r="F51" s="4"/>
      <c r="G51" s="5"/>
      <c r="H51" s="4"/>
      <c r="I51" s="5"/>
      <c r="J51" s="3"/>
      <c r="K51" s="3"/>
    </row>
    <row r="52" spans="1:11" x14ac:dyDescent="0.2">
      <c r="A52" t="s">
        <v>203</v>
      </c>
      <c r="B52" s="45" t="str">
        <f>IFERROR(VLOOKUP($A52,#REF!,2,FALSE),"-")</f>
        <v>-</v>
      </c>
      <c r="C52" s="3" t="s">
        <v>70</v>
      </c>
      <c r="D52">
        <v>9014036662</v>
      </c>
      <c r="E52" s="38"/>
      <c r="F52" s="4"/>
      <c r="G52" s="5"/>
      <c r="H52" s="4"/>
      <c r="I52" s="5"/>
      <c r="J52" s="3"/>
      <c r="K52" s="3"/>
    </row>
    <row r="53" spans="1:11" x14ac:dyDescent="0.2">
      <c r="A53" t="s">
        <v>204</v>
      </c>
      <c r="B53" s="45" t="str">
        <f>IFERROR(VLOOKUP($A53,#REF!,2,FALSE),"-")</f>
        <v>-</v>
      </c>
      <c r="C53" s="3" t="s">
        <v>70</v>
      </c>
      <c r="D53">
        <v>9381784316</v>
      </c>
      <c r="E53" s="38"/>
      <c r="F53" s="4"/>
      <c r="G53" s="5"/>
      <c r="H53" s="4"/>
      <c r="I53" s="5"/>
      <c r="J53" s="3"/>
      <c r="K53" s="3"/>
    </row>
    <row r="54" spans="1:11" x14ac:dyDescent="0.2">
      <c r="A54" t="s">
        <v>205</v>
      </c>
      <c r="B54" s="45" t="str">
        <f>IFERROR(VLOOKUP($A54,#REF!,2,FALSE),"-")</f>
        <v>-</v>
      </c>
      <c r="C54" s="3" t="s">
        <v>70</v>
      </c>
      <c r="D54">
        <v>9108683281</v>
      </c>
      <c r="E54" s="38"/>
      <c r="F54" s="4"/>
      <c r="G54" s="5"/>
      <c r="H54" s="4"/>
      <c r="I54" s="5"/>
      <c r="J54" s="3"/>
      <c r="K54" s="3"/>
    </row>
    <row r="55" spans="1:11" x14ac:dyDescent="0.2">
      <c r="A55" t="s">
        <v>206</v>
      </c>
      <c r="B55" s="45" t="str">
        <f>IFERROR(VLOOKUP($A55,#REF!,2,FALSE),"-")</f>
        <v>-</v>
      </c>
      <c r="C55" s="3" t="s">
        <v>70</v>
      </c>
      <c r="D55">
        <v>9184287042</v>
      </c>
      <c r="E55" s="38"/>
      <c r="F55" s="4"/>
      <c r="G55" s="5"/>
      <c r="H55" s="4"/>
      <c r="I55" s="5"/>
      <c r="J55" s="3"/>
      <c r="K55" s="3"/>
    </row>
    <row r="56" spans="1:11" x14ac:dyDescent="0.2">
      <c r="A56" s="34"/>
      <c r="B56" s="3" t="str">
        <f>IFERROR(VLOOKUP($A56,#REF!,2,FALSE),"-")</f>
        <v>-</v>
      </c>
      <c r="C56" s="35"/>
      <c r="D56" s="3"/>
      <c r="E56" s="38"/>
      <c r="F56" s="4"/>
      <c r="G56" s="5"/>
      <c r="H56" s="4"/>
      <c r="I56" s="5"/>
      <c r="J56" s="3"/>
      <c r="K56" s="3"/>
    </row>
    <row r="57" spans="1:11" x14ac:dyDescent="0.2">
      <c r="A57" s="34"/>
      <c r="B57" s="3" t="str">
        <f>IFERROR(VLOOKUP($A57,#REF!,2,FALSE),"-")</f>
        <v>-</v>
      </c>
      <c r="C57" s="35"/>
      <c r="D57" s="3"/>
      <c r="E57" s="38"/>
      <c r="F57" s="4"/>
      <c r="G57" s="5"/>
      <c r="H57" s="4"/>
      <c r="I57" s="5"/>
      <c r="J57" s="3"/>
      <c r="K57" s="3"/>
    </row>
    <row r="58" spans="1:11" x14ac:dyDescent="0.2">
      <c r="A58" s="34"/>
      <c r="B58" s="3" t="str">
        <f>IFERROR(VLOOKUP($A58,#REF!,2,FALSE),"-")</f>
        <v>-</v>
      </c>
      <c r="C58" s="35"/>
      <c r="D58" s="3"/>
      <c r="E58" s="38"/>
      <c r="F58" s="4"/>
      <c r="G58" s="5"/>
      <c r="H58" s="4"/>
      <c r="I58" s="5"/>
      <c r="J58" s="3"/>
      <c r="K58" s="3"/>
    </row>
    <row r="59" spans="1:11" x14ac:dyDescent="0.2">
      <c r="A59" s="34"/>
      <c r="B59" s="3" t="str">
        <f>IFERROR(VLOOKUP($A59,#REF!,2,FALSE),"-")</f>
        <v>-</v>
      </c>
      <c r="C59" s="35"/>
      <c r="D59" s="3"/>
      <c r="E59" s="38"/>
      <c r="F59" s="4"/>
      <c r="G59" s="5"/>
      <c r="H59" s="4"/>
      <c r="I59" s="5"/>
      <c r="J59" s="3"/>
      <c r="K59" s="3"/>
    </row>
    <row r="60" spans="1:11" x14ac:dyDescent="0.2">
      <c r="A60" s="34"/>
      <c r="B60" s="3" t="str">
        <f>IFERROR(VLOOKUP($A60,#REF!,2,FALSE),"-")</f>
        <v>-</v>
      </c>
      <c r="C60" s="3"/>
      <c r="D60" s="3"/>
      <c r="E60" s="38"/>
      <c r="F60" s="4"/>
      <c r="G60" s="5"/>
      <c r="H60" s="4"/>
      <c r="I60" s="37"/>
      <c r="J60" s="3"/>
      <c r="K60" s="3"/>
    </row>
    <row r="61" spans="1:11" x14ac:dyDescent="0.2">
      <c r="A61" s="49"/>
      <c r="B61" s="52" t="str">
        <f>IFERROR(VLOOKUP($A61,#REF!,2,FALSE),"-")</f>
        <v>-</v>
      </c>
      <c r="C61" s="45"/>
      <c r="D61" s="52"/>
      <c r="E61" s="38"/>
      <c r="F61" s="4"/>
      <c r="G61" s="5"/>
      <c r="H61" s="4"/>
      <c r="I61" s="5"/>
      <c r="J61" s="3"/>
      <c r="K61" s="3"/>
    </row>
    <row r="62" spans="1:11" x14ac:dyDescent="0.2">
      <c r="A62" s="49"/>
      <c r="B62" s="52" t="str">
        <f>IFERROR(VLOOKUP($A62,#REF!,2,FALSE),"-")</f>
        <v>-</v>
      </c>
      <c r="C62" s="45"/>
      <c r="D62" s="52"/>
      <c r="E62" s="38"/>
      <c r="F62" s="4"/>
      <c r="G62" s="5"/>
      <c r="H62" s="4"/>
      <c r="I62" s="5"/>
      <c r="J62" s="3"/>
      <c r="K62" s="3"/>
    </row>
    <row r="63" spans="1:11" x14ac:dyDescent="0.2">
      <c r="A63" s="49"/>
      <c r="B63" s="52" t="str">
        <f>IFERROR(VLOOKUP($A63,#REF!,2,FALSE),"-")</f>
        <v>-</v>
      </c>
      <c r="C63" s="45"/>
      <c r="D63" s="52"/>
      <c r="E63" s="38"/>
      <c r="F63" s="4"/>
      <c r="G63" s="5"/>
      <c r="H63" s="4"/>
      <c r="I63" s="5"/>
      <c r="J63" s="3"/>
      <c r="K63" s="3"/>
    </row>
    <row r="64" spans="1:11" x14ac:dyDescent="0.2">
      <c r="A64" s="49"/>
      <c r="B64" s="52" t="str">
        <f>IFERROR(VLOOKUP($A64,#REF!,2,FALSE),"-")</f>
        <v>-</v>
      </c>
      <c r="C64" s="45"/>
      <c r="D64" s="52"/>
      <c r="E64" s="38"/>
      <c r="F64" s="4"/>
      <c r="G64" s="5"/>
      <c r="H64" s="4"/>
      <c r="I64" s="5"/>
      <c r="J64" s="3"/>
      <c r="K64" s="3"/>
    </row>
    <row r="65" spans="1:11" x14ac:dyDescent="0.2">
      <c r="A65" s="49"/>
      <c r="B65" s="52" t="str">
        <f>IFERROR(VLOOKUP($A65,#REF!,2,FALSE),"-")</f>
        <v>-</v>
      </c>
      <c r="C65" s="45"/>
      <c r="D65" s="52"/>
      <c r="E65" s="38"/>
      <c r="F65" s="4"/>
      <c r="G65" s="5"/>
      <c r="H65" s="4"/>
      <c r="I65" s="5"/>
      <c r="J65" s="3"/>
      <c r="K65" s="3"/>
    </row>
    <row r="66" spans="1:11" x14ac:dyDescent="0.2">
      <c r="A66" s="49"/>
      <c r="B66" s="52" t="str">
        <f>IFERROR(VLOOKUP($A66,#REF!,2,FALSE),"-")</f>
        <v>-</v>
      </c>
      <c r="C66" s="45"/>
      <c r="D66" s="52"/>
      <c r="E66" s="38"/>
      <c r="F66" s="4"/>
      <c r="G66" s="5"/>
      <c r="H66" s="4"/>
      <c r="I66" s="5"/>
      <c r="J66" s="3"/>
      <c r="K66" s="3"/>
    </row>
    <row r="67" spans="1:11" x14ac:dyDescent="0.2">
      <c r="A67" s="49"/>
      <c r="B67" s="52" t="str">
        <f>IFERROR(VLOOKUP($A67,#REF!,2,FALSE),"-")</f>
        <v>-</v>
      </c>
      <c r="C67" s="45"/>
      <c r="D67" s="52"/>
      <c r="E67" s="38"/>
      <c r="F67" s="4"/>
      <c r="G67" s="5"/>
      <c r="H67" s="4"/>
      <c r="I67" s="5"/>
      <c r="J67" s="3"/>
      <c r="K67" s="3"/>
    </row>
    <row r="68" spans="1:11" x14ac:dyDescent="0.2">
      <c r="A68" s="49"/>
      <c r="B68" s="52" t="str">
        <f>IFERROR(VLOOKUP($A68,#REF!,2,FALSE),"-")</f>
        <v>-</v>
      </c>
      <c r="C68" s="45"/>
      <c r="D68" s="52"/>
      <c r="E68" s="38"/>
      <c r="F68" s="4"/>
      <c r="G68" s="5"/>
      <c r="H68" s="4"/>
      <c r="I68" s="5"/>
      <c r="J68" s="3"/>
      <c r="K68" s="3"/>
    </row>
    <row r="69" spans="1:11" x14ac:dyDescent="0.2">
      <c r="A69" s="49"/>
      <c r="B69" s="52" t="str">
        <f>IFERROR(VLOOKUP($A69,#REF!,2,FALSE),"-")</f>
        <v>-</v>
      </c>
      <c r="C69" s="45"/>
      <c r="D69" s="52"/>
      <c r="E69" s="38"/>
      <c r="F69" s="4"/>
      <c r="G69" s="5"/>
      <c r="H69" s="4"/>
      <c r="I69" s="5"/>
      <c r="J69" s="3"/>
      <c r="K69" s="3"/>
    </row>
    <row r="70" spans="1:11" x14ac:dyDescent="0.2">
      <c r="A70" s="49"/>
      <c r="B70" s="52" t="str">
        <f>IFERROR(VLOOKUP($A70,#REF!,2,FALSE),"-")</f>
        <v>-</v>
      </c>
      <c r="C70" s="45"/>
      <c r="D70" s="52"/>
      <c r="E70" s="46"/>
      <c r="F70" s="47"/>
      <c r="G70" s="48"/>
      <c r="H70" s="47"/>
      <c r="I70" s="48"/>
      <c r="J70" s="45"/>
      <c r="K70" s="45"/>
    </row>
    <row r="71" spans="1:11" x14ac:dyDescent="0.2">
      <c r="A71" s="49"/>
      <c r="B71" s="52" t="str">
        <f>IFERROR(VLOOKUP($A71,#REF!,2,FALSE),"-")</f>
        <v>-</v>
      </c>
      <c r="C71" s="45"/>
      <c r="D71" s="52"/>
      <c r="E71" s="46"/>
      <c r="F71" s="47"/>
      <c r="G71" s="48"/>
      <c r="H71" s="47"/>
      <c r="I71" s="48"/>
      <c r="J71" s="45"/>
      <c r="K71" s="45"/>
    </row>
    <row r="72" spans="1:11" x14ac:dyDescent="0.2">
      <c r="A72" s="49"/>
      <c r="B72" s="52" t="str">
        <f>IFERROR(VLOOKUP($A72,#REF!,2,FALSE),"-")</f>
        <v>-</v>
      </c>
      <c r="C72" s="45"/>
      <c r="D72" s="52"/>
      <c r="E72" s="46"/>
      <c r="F72" s="47"/>
      <c r="G72" s="48"/>
      <c r="H72" s="47"/>
      <c r="I72" s="48"/>
      <c r="J72" s="45"/>
      <c r="K72" s="45"/>
    </row>
    <row r="73" spans="1:11" x14ac:dyDescent="0.2">
      <c r="A73" s="49"/>
      <c r="B73" s="52" t="str">
        <f>IFERROR(VLOOKUP($A73,#REF!,2,FALSE),"-")</f>
        <v>-</v>
      </c>
      <c r="C73" s="45"/>
      <c r="D73" s="52"/>
      <c r="E73" s="46"/>
      <c r="F73" s="47"/>
      <c r="G73" s="48"/>
      <c r="H73" s="47"/>
      <c r="I73" s="48"/>
      <c r="J73" s="45"/>
      <c r="K73" s="45"/>
    </row>
    <row r="74" spans="1:11" x14ac:dyDescent="0.2">
      <c r="A74" s="49"/>
      <c r="B74" s="52" t="str">
        <f>IFERROR(VLOOKUP($A74,#REF!,2,FALSE),"-")</f>
        <v>-</v>
      </c>
      <c r="C74" s="45"/>
      <c r="D74" s="52"/>
      <c r="E74" s="46"/>
      <c r="F74" s="47"/>
      <c r="G74" s="48"/>
      <c r="H74" s="47"/>
      <c r="I74" s="48"/>
      <c r="J74" s="45"/>
      <c r="K74" s="45"/>
    </row>
    <row r="75" spans="1:11" x14ac:dyDescent="0.2">
      <c r="A75" s="49"/>
      <c r="B75" s="52" t="str">
        <f>IFERROR(VLOOKUP($A75,#REF!,2,FALSE),"-")</f>
        <v>-</v>
      </c>
      <c r="C75" s="45"/>
      <c r="D75" s="52"/>
      <c r="E75" s="46"/>
      <c r="F75" s="47"/>
      <c r="G75" s="48"/>
      <c r="H75" s="47"/>
      <c r="I75" s="48"/>
      <c r="J75" s="45"/>
      <c r="K75" s="45"/>
    </row>
    <row r="76" spans="1:11" x14ac:dyDescent="0.2">
      <c r="A76" s="49"/>
      <c r="B76" s="52" t="str">
        <f>IFERROR(VLOOKUP($A76,#REF!,2,FALSE),"-")</f>
        <v>-</v>
      </c>
      <c r="C76" s="45"/>
      <c r="D76" s="52"/>
      <c r="E76" s="46"/>
      <c r="F76" s="47"/>
      <c r="G76" s="48"/>
      <c r="H76" s="47"/>
      <c r="I76" s="48"/>
      <c r="J76" s="45"/>
      <c r="K76" s="45"/>
    </row>
    <row r="77" spans="1:11" x14ac:dyDescent="0.2">
      <c r="A77" s="49"/>
      <c r="B77" s="52" t="str">
        <f>IFERROR(VLOOKUP($A77,#REF!,2,FALSE),"-")</f>
        <v>-</v>
      </c>
      <c r="C77" s="45"/>
      <c r="D77" s="52"/>
      <c r="E77" s="46"/>
      <c r="F77" s="47"/>
      <c r="G77" s="48"/>
      <c r="H77" s="47"/>
      <c r="I77" s="48"/>
      <c r="J77" s="45"/>
      <c r="K77" s="45"/>
    </row>
    <row r="78" spans="1:11" x14ac:dyDescent="0.2">
      <c r="A78" s="49"/>
      <c r="B78" s="52" t="str">
        <f>IFERROR(VLOOKUP($A78,#REF!,2,FALSE),"-")</f>
        <v>-</v>
      </c>
      <c r="C78" s="45"/>
      <c r="D78" s="52"/>
      <c r="E78" s="46"/>
      <c r="F78" s="47"/>
      <c r="G78" s="48"/>
      <c r="H78" s="47"/>
      <c r="I78" s="48"/>
      <c r="J78" s="45"/>
      <c r="K78" s="45"/>
    </row>
    <row r="79" spans="1:11" x14ac:dyDescent="0.2">
      <c r="A79" s="49"/>
      <c r="B79" s="52" t="str">
        <f>IFERROR(VLOOKUP($A79,#REF!,2,FALSE),"-")</f>
        <v>-</v>
      </c>
      <c r="C79" s="45"/>
      <c r="D79" s="52"/>
      <c r="E79" s="46"/>
      <c r="F79" s="47"/>
      <c r="G79" s="48"/>
      <c r="H79" s="47"/>
      <c r="I79" s="48"/>
      <c r="J79" s="45"/>
      <c r="K79" s="45"/>
    </row>
    <row r="80" spans="1:11" x14ac:dyDescent="0.2">
      <c r="A80" s="49"/>
      <c r="B80" s="52" t="str">
        <f>IFERROR(VLOOKUP($A80,#REF!,2,FALSE),"-")</f>
        <v>-</v>
      </c>
      <c r="C80" s="45"/>
      <c r="D80" s="52"/>
      <c r="E80" s="46"/>
      <c r="F80" s="47"/>
      <c r="G80" s="48"/>
      <c r="H80" s="47"/>
      <c r="I80" s="48"/>
      <c r="J80" s="45"/>
      <c r="K80" s="45"/>
    </row>
    <row r="81" spans="1:11" x14ac:dyDescent="0.2">
      <c r="A81" s="49"/>
      <c r="B81" s="52" t="str">
        <f>IFERROR(VLOOKUP($A81,#REF!,2,FALSE),"-")</f>
        <v>-</v>
      </c>
      <c r="C81" s="45"/>
      <c r="D81" s="52"/>
      <c r="E81" s="46"/>
      <c r="F81" s="47"/>
      <c r="G81" s="48"/>
      <c r="H81" s="47"/>
      <c r="I81" s="48"/>
      <c r="J81" s="45"/>
      <c r="K81" s="45"/>
    </row>
    <row r="82" spans="1:11" x14ac:dyDescent="0.2">
      <c r="A82" s="49"/>
      <c r="B82" s="52" t="str">
        <f>IFERROR(VLOOKUP($A82,#REF!,2,FALSE),"-")</f>
        <v>-</v>
      </c>
      <c r="C82" s="45"/>
      <c r="D82" s="52"/>
      <c r="E82" s="46"/>
      <c r="F82" s="47"/>
      <c r="G82" s="48"/>
      <c r="H82" s="47"/>
      <c r="I82" s="48"/>
      <c r="J82" s="45"/>
      <c r="K82" s="45"/>
    </row>
    <row r="83" spans="1:11" x14ac:dyDescent="0.2">
      <c r="A83" s="49"/>
      <c r="B83" s="52" t="str">
        <f>IFERROR(VLOOKUP($A83,#REF!,2,FALSE),"-")</f>
        <v>-</v>
      </c>
      <c r="C83" s="45"/>
      <c r="D83" s="52"/>
      <c r="E83" s="46"/>
      <c r="F83" s="47"/>
      <c r="G83" s="48"/>
      <c r="H83" s="47"/>
      <c r="I83" s="48"/>
      <c r="J83" s="45"/>
      <c r="K83" s="45"/>
    </row>
    <row r="84" spans="1:11" x14ac:dyDescent="0.2">
      <c r="A84" s="49"/>
      <c r="B84" s="52" t="str">
        <f>IFERROR(VLOOKUP($A84,#REF!,2,FALSE),"-")</f>
        <v>-</v>
      </c>
      <c r="C84" s="45"/>
      <c r="D84" s="52"/>
      <c r="E84" s="46"/>
      <c r="F84" s="47"/>
      <c r="G84" s="48"/>
      <c r="H84" s="47"/>
      <c r="I84" s="48"/>
      <c r="J84" s="45"/>
      <c r="K84" s="45"/>
    </row>
    <row r="85" spans="1:11" x14ac:dyDescent="0.2">
      <c r="A85" s="49"/>
      <c r="B85" s="52" t="str">
        <f>IFERROR(VLOOKUP($A85,#REF!,2,FALSE),"-")</f>
        <v>-</v>
      </c>
      <c r="C85" s="45"/>
      <c r="D85" s="52"/>
      <c r="E85" s="46"/>
      <c r="F85" s="47"/>
      <c r="G85" s="48"/>
      <c r="H85" s="47"/>
      <c r="I85" s="48"/>
      <c r="J85" s="45"/>
      <c r="K85" s="45"/>
    </row>
    <row r="86" spans="1:11" x14ac:dyDescent="0.2">
      <c r="A86" s="49"/>
      <c r="B86" s="52" t="str">
        <f>IFERROR(VLOOKUP($A86,#REF!,2,FALSE),"-")</f>
        <v>-</v>
      </c>
      <c r="C86" s="45"/>
      <c r="D86" s="52"/>
      <c r="E86" s="46"/>
      <c r="F86" s="47"/>
      <c r="G86" s="48"/>
      <c r="H86" s="47"/>
      <c r="I86" s="48"/>
      <c r="J86" s="45"/>
      <c r="K86" s="45"/>
    </row>
    <row r="87" spans="1:11" x14ac:dyDescent="0.2">
      <c r="A87" s="49"/>
      <c r="B87" s="52" t="str">
        <f>IFERROR(VLOOKUP($A87,#REF!,2,FALSE),"-")</f>
        <v>-</v>
      </c>
      <c r="C87" s="45"/>
      <c r="D87" s="52"/>
      <c r="E87" s="46"/>
      <c r="F87" s="47"/>
      <c r="G87" s="48"/>
      <c r="H87" s="47"/>
      <c r="I87" s="48"/>
      <c r="J87" s="45"/>
      <c r="K87" s="45"/>
    </row>
    <row r="88" spans="1:11" x14ac:dyDescent="0.2">
      <c r="A88" s="49"/>
      <c r="B88" s="52" t="str">
        <f>IFERROR(VLOOKUP($A88,#REF!,2,FALSE),"-")</f>
        <v>-</v>
      </c>
      <c r="C88" s="45"/>
      <c r="D88" s="52"/>
      <c r="E88" s="46"/>
      <c r="F88" s="47"/>
      <c r="G88" s="48"/>
      <c r="H88" s="47"/>
      <c r="I88" s="48"/>
      <c r="J88" s="45"/>
      <c r="K88" s="45"/>
    </row>
    <row r="89" spans="1:11" x14ac:dyDescent="0.2">
      <c r="A89" s="49"/>
      <c r="B89" s="52" t="str">
        <f>IFERROR(VLOOKUP($A89,#REF!,2,FALSE),"-")</f>
        <v>-</v>
      </c>
      <c r="C89" s="45"/>
      <c r="D89" s="52"/>
      <c r="E89" s="46"/>
      <c r="F89" s="47"/>
      <c r="G89" s="48"/>
      <c r="H89" s="47"/>
      <c r="I89" s="48"/>
      <c r="J89" s="45"/>
      <c r="K89" s="45"/>
    </row>
    <row r="90" spans="1:11" x14ac:dyDescent="0.2">
      <c r="A90" s="49"/>
      <c r="B90" s="52" t="str">
        <f>IFERROR(VLOOKUP($A90,#REF!,2,FALSE),"-")</f>
        <v>-</v>
      </c>
      <c r="C90" s="45"/>
      <c r="D90" s="52"/>
      <c r="E90" s="46"/>
      <c r="F90" s="47"/>
      <c r="G90" s="48"/>
      <c r="H90" s="47"/>
      <c r="I90" s="48"/>
      <c r="J90" s="45"/>
      <c r="K90" s="45"/>
    </row>
    <row r="91" spans="1:11" x14ac:dyDescent="0.2">
      <c r="A91" s="49"/>
      <c r="B91" s="52" t="str">
        <f>IFERROR(VLOOKUP($A91,#REF!,2,FALSE),"-")</f>
        <v>-</v>
      </c>
      <c r="C91" s="45"/>
      <c r="D91" s="52"/>
      <c r="E91" s="46"/>
      <c r="F91" s="47"/>
      <c r="G91" s="48"/>
      <c r="H91" s="47"/>
      <c r="I91" s="48"/>
      <c r="J91" s="45"/>
      <c r="K91" s="45"/>
    </row>
    <row r="92" spans="1:11" x14ac:dyDescent="0.2">
      <c r="A92" s="49"/>
      <c r="B92" s="52" t="str">
        <f>IFERROR(VLOOKUP($A92,#REF!,2,FALSE),"-")</f>
        <v>-</v>
      </c>
      <c r="C92" s="45"/>
      <c r="D92" s="52"/>
      <c r="E92" s="46"/>
      <c r="F92" s="47"/>
      <c r="G92" s="48"/>
      <c r="H92" s="47"/>
      <c r="I92" s="48"/>
      <c r="J92" s="45"/>
      <c r="K92" s="45"/>
    </row>
    <row r="93" spans="1:11" x14ac:dyDescent="0.2">
      <c r="A93" s="49"/>
      <c r="B93" s="52" t="str">
        <f>IFERROR(VLOOKUP($A93,#REF!,2,FALSE),"-")</f>
        <v>-</v>
      </c>
      <c r="C93" s="45"/>
      <c r="D93" s="52"/>
      <c r="E93" s="46"/>
      <c r="F93" s="47"/>
      <c r="G93" s="48"/>
      <c r="H93" s="47"/>
      <c r="I93" s="48"/>
      <c r="J93" s="45"/>
      <c r="K93" s="45"/>
    </row>
    <row r="94" spans="1:11" x14ac:dyDescent="0.2">
      <c r="A94" s="49"/>
      <c r="B94" s="52" t="str">
        <f>IFERROR(VLOOKUP($A94,#REF!,2,FALSE),"-")</f>
        <v>-</v>
      </c>
      <c r="C94" s="45"/>
      <c r="D94" s="52"/>
      <c r="E94" s="46"/>
      <c r="F94" s="47"/>
      <c r="G94" s="48"/>
      <c r="H94" s="47"/>
      <c r="I94" s="48"/>
      <c r="J94" s="45"/>
      <c r="K94" s="45"/>
    </row>
    <row r="95" spans="1:11" x14ac:dyDescent="0.2">
      <c r="A95" s="49"/>
      <c r="B95" s="52" t="str">
        <f>IFERROR(VLOOKUP($A95,#REF!,2,FALSE),"-")</f>
        <v>-</v>
      </c>
      <c r="C95" s="45"/>
      <c r="D95" s="52"/>
      <c r="E95" s="46"/>
      <c r="F95" s="47"/>
      <c r="G95" s="48"/>
      <c r="H95" s="47"/>
      <c r="I95" s="48"/>
      <c r="J95" s="45"/>
      <c r="K95" s="45"/>
    </row>
    <row r="96" spans="1:11" x14ac:dyDescent="0.2">
      <c r="A96" s="49"/>
      <c r="B96" s="52" t="str">
        <f>IFERROR(VLOOKUP($A96,#REF!,2,FALSE),"-")</f>
        <v>-</v>
      </c>
      <c r="C96" s="45"/>
      <c r="D96" s="52"/>
      <c r="E96" s="46"/>
      <c r="F96" s="47"/>
      <c r="G96" s="48"/>
      <c r="H96" s="47"/>
      <c r="I96" s="48"/>
      <c r="J96" s="45"/>
      <c r="K96" s="45"/>
    </row>
    <row r="97" spans="1:11" x14ac:dyDescent="0.2">
      <c r="A97" s="49"/>
      <c r="B97" s="52" t="str">
        <f>IFERROR(VLOOKUP($A97,#REF!,2,FALSE),"-")</f>
        <v>-</v>
      </c>
      <c r="C97" s="45"/>
      <c r="D97" s="52"/>
      <c r="E97" s="46"/>
      <c r="F97" s="47"/>
      <c r="G97" s="48"/>
      <c r="H97" s="47"/>
      <c r="I97" s="48"/>
      <c r="J97" s="45"/>
      <c r="K97" s="45"/>
    </row>
    <row r="98" spans="1:11" x14ac:dyDescent="0.2">
      <c r="A98" s="49"/>
      <c r="B98" s="52" t="str">
        <f>IFERROR(VLOOKUP($A98,#REF!,2,FALSE),"-")</f>
        <v>-</v>
      </c>
      <c r="C98" s="45"/>
      <c r="D98" s="52"/>
      <c r="E98" s="46"/>
      <c r="F98" s="47"/>
      <c r="G98" s="48"/>
      <c r="H98" s="47"/>
      <c r="I98" s="48"/>
      <c r="J98" s="45"/>
      <c r="K98" s="45"/>
    </row>
    <row r="99" spans="1:11" x14ac:dyDescent="0.2">
      <c r="A99" s="49"/>
      <c r="B99" s="52" t="str">
        <f>IFERROR(VLOOKUP($A99,#REF!,2,FALSE),"-")</f>
        <v>-</v>
      </c>
      <c r="C99" s="45"/>
      <c r="D99" s="52"/>
      <c r="E99" s="46"/>
      <c r="F99" s="47"/>
      <c r="G99" s="48"/>
      <c r="H99" s="47"/>
      <c r="I99" s="48"/>
      <c r="J99" s="45"/>
      <c r="K99" s="45"/>
    </row>
    <row r="100" spans="1:11" x14ac:dyDescent="0.2">
      <c r="A100" s="49"/>
      <c r="B100" s="52" t="str">
        <f>IFERROR(VLOOKUP($A100,#REF!,2,FALSE),"-")</f>
        <v>-</v>
      </c>
      <c r="C100" s="45"/>
      <c r="D100" s="52"/>
      <c r="E100" s="46"/>
      <c r="F100" s="47"/>
      <c r="G100" s="48"/>
      <c r="H100" s="47"/>
      <c r="I100" s="48"/>
      <c r="J100" s="45"/>
      <c r="K100" s="45"/>
    </row>
    <row r="101" spans="1:11" x14ac:dyDescent="0.2">
      <c r="A101" s="49"/>
      <c r="B101" s="52" t="str">
        <f>IFERROR(VLOOKUP($A101,#REF!,2,FALSE),"-")</f>
        <v>-</v>
      </c>
      <c r="C101" s="45"/>
      <c r="D101" s="52"/>
      <c r="E101" s="46"/>
      <c r="F101" s="47"/>
      <c r="G101" s="48"/>
      <c r="H101" s="47"/>
      <c r="I101" s="48"/>
      <c r="J101" s="45"/>
      <c r="K101" s="45"/>
    </row>
    <row r="102" spans="1:11" x14ac:dyDescent="0.2">
      <c r="A102" s="49"/>
      <c r="B102" s="52" t="str">
        <f>IFERROR(VLOOKUP($A102,#REF!,2,FALSE),"-")</f>
        <v>-</v>
      </c>
      <c r="C102" s="45"/>
      <c r="D102" s="52"/>
      <c r="E102" s="46"/>
      <c r="F102" s="47"/>
      <c r="G102" s="48"/>
      <c r="H102" s="47"/>
      <c r="I102" s="48"/>
      <c r="J102" s="45"/>
      <c r="K102" s="45"/>
    </row>
    <row r="103" spans="1:11" x14ac:dyDescent="0.2">
      <c r="A103" s="49"/>
      <c r="B103" s="52" t="str">
        <f>IFERROR(VLOOKUP($A103,#REF!,2,FALSE),"-")</f>
        <v>-</v>
      </c>
      <c r="C103" s="45"/>
      <c r="D103" s="52"/>
      <c r="E103" s="46"/>
      <c r="F103" s="47"/>
      <c r="G103" s="48"/>
      <c r="H103" s="47"/>
      <c r="I103" s="48"/>
      <c r="J103" s="45"/>
      <c r="K103" s="45"/>
    </row>
    <row r="104" spans="1:11" x14ac:dyDescent="0.2">
      <c r="A104" s="49"/>
      <c r="B104" s="52" t="str">
        <f>IFERROR(VLOOKUP($A104,#REF!,2,FALSE),"-")</f>
        <v>-</v>
      </c>
      <c r="C104" s="45"/>
      <c r="D104" s="52"/>
      <c r="E104" s="46"/>
      <c r="F104" s="47"/>
      <c r="G104" s="48"/>
      <c r="H104" s="47"/>
      <c r="I104" s="48"/>
      <c r="J104" s="45"/>
      <c r="K104" s="45"/>
    </row>
    <row r="105" spans="1:11" x14ac:dyDescent="0.2">
      <c r="A105" s="49"/>
      <c r="B105" s="52" t="str">
        <f>IFERROR(VLOOKUP($A105,#REF!,2,FALSE),"-")</f>
        <v>-</v>
      </c>
      <c r="C105" s="45"/>
      <c r="D105" s="52"/>
      <c r="E105" s="46"/>
      <c r="F105" s="47"/>
      <c r="G105" s="48"/>
      <c r="H105" s="47"/>
      <c r="I105" s="48"/>
      <c r="J105" s="45"/>
      <c r="K105" s="45"/>
    </row>
    <row r="106" spans="1:11" x14ac:dyDescent="0.2">
      <c r="A106" s="49"/>
      <c r="B106" s="52" t="str">
        <f>IFERROR(VLOOKUP($A106,#REF!,2,FALSE),"-")</f>
        <v>-</v>
      </c>
      <c r="C106" s="45"/>
      <c r="D106" s="52"/>
      <c r="E106" s="46"/>
      <c r="F106" s="47"/>
      <c r="G106" s="48"/>
      <c r="H106" s="47"/>
      <c r="I106" s="48"/>
      <c r="J106" s="45"/>
      <c r="K106" s="45"/>
    </row>
    <row r="107" spans="1:11" x14ac:dyDescent="0.2">
      <c r="A107" s="49"/>
      <c r="B107" s="52" t="str">
        <f>IFERROR(VLOOKUP($A107,#REF!,2,FALSE),"-")</f>
        <v>-</v>
      </c>
      <c r="C107" s="45"/>
      <c r="D107" s="52"/>
      <c r="E107" s="46"/>
      <c r="F107" s="47"/>
      <c r="G107" s="48"/>
      <c r="H107" s="47"/>
      <c r="I107" s="48"/>
      <c r="J107" s="45"/>
      <c r="K107" s="45"/>
    </row>
    <row r="108" spans="1:11" x14ac:dyDescent="0.2">
      <c r="A108" s="49"/>
      <c r="B108" s="52" t="str">
        <f>IFERROR(VLOOKUP($A108,#REF!,2,FALSE),"-")</f>
        <v>-</v>
      </c>
      <c r="C108" s="45"/>
      <c r="D108" s="52"/>
      <c r="E108" s="46"/>
      <c r="F108" s="47"/>
      <c r="G108" s="48"/>
      <c r="H108" s="47"/>
      <c r="I108" s="48"/>
      <c r="J108" s="45"/>
      <c r="K108" s="45"/>
    </row>
    <row r="109" spans="1:11" x14ac:dyDescent="0.2">
      <c r="A109" s="49"/>
      <c r="B109" s="52" t="str">
        <f>IFERROR(VLOOKUP($A109,#REF!,2,FALSE),"-")</f>
        <v>-</v>
      </c>
      <c r="C109" s="45"/>
      <c r="D109" s="52"/>
      <c r="E109" s="46"/>
      <c r="F109" s="47"/>
      <c r="G109" s="48"/>
      <c r="H109" s="47"/>
      <c r="I109" s="48"/>
      <c r="J109" s="45"/>
      <c r="K109" s="45"/>
    </row>
    <row r="110" spans="1:11" x14ac:dyDescent="0.2">
      <c r="A110" s="49"/>
      <c r="B110" s="52" t="str">
        <f>IFERROR(VLOOKUP($A110,#REF!,2,FALSE),"-")</f>
        <v>-</v>
      </c>
      <c r="C110" s="45"/>
      <c r="D110" s="52"/>
      <c r="E110" s="46"/>
      <c r="F110" s="47"/>
      <c r="G110" s="48"/>
      <c r="H110" s="47"/>
      <c r="I110" s="48"/>
      <c r="J110" s="45"/>
      <c r="K110" s="45"/>
    </row>
    <row r="111" spans="1:11" x14ac:dyDescent="0.2">
      <c r="A111" s="50"/>
      <c r="B111" s="53" t="str">
        <f>IFERROR(VLOOKUP($A111,#REF!,2,FALSE),"-")</f>
        <v>-</v>
      </c>
      <c r="C111" s="51"/>
      <c r="D111" s="53"/>
      <c r="E111" s="46"/>
      <c r="F111" s="47"/>
      <c r="G111" s="48"/>
      <c r="H111" s="47"/>
      <c r="I111" s="48"/>
      <c r="J111" s="45"/>
      <c r="K111" s="45"/>
    </row>
  </sheetData>
  <mergeCells count="1">
    <mergeCell ref="A3:K3"/>
  </mergeCells>
  <conditionalFormatting sqref="H40:H69">
    <cfRule type="expression" dxfId="143" priority="33" stopIfTrue="1">
      <formula>(H40-TODAY())&gt;=days_until_next_1</formula>
    </cfRule>
    <cfRule type="expression" dxfId="142" priority="34" stopIfTrue="1">
      <formula>(H40-TODAY())&gt;=days_until_next_2</formula>
    </cfRule>
    <cfRule type="expression" dxfId="141" priority="35" stopIfTrue="1">
      <formula>NOT(ISBLANK(H40))</formula>
    </cfRule>
  </conditionalFormatting>
  <conditionalFormatting sqref="F5:F111">
    <cfRule type="expression" dxfId="140" priority="36" stopIfTrue="1">
      <formula>AND(NOT(ISBLANK(F5)),(TODAY()-F5)&lt;=days_since_last_1)</formula>
    </cfRule>
    <cfRule type="expression" dxfId="139" priority="37" stopIfTrue="1">
      <formula>(TODAY()-F5)&lt;=days_since_last_2</formula>
    </cfRule>
    <cfRule type="expression" dxfId="138" priority="38" stopIfTrue="1">
      <formula>NOT(ISBLANK(F5))</formula>
    </cfRule>
  </conditionalFormatting>
  <conditionalFormatting sqref="H5:H39">
    <cfRule type="expression" dxfId="137" priority="27" stopIfTrue="1">
      <formula>AND(NOT(ISBLANK(H5)),(TODAY()-H5)&lt;=days_since_last_1)</formula>
    </cfRule>
    <cfRule type="expression" dxfId="136" priority="28" stopIfTrue="1">
      <formula>(TODAY()-H5)&lt;=days_since_last_2</formula>
    </cfRule>
    <cfRule type="expression" dxfId="135" priority="29" stopIfTrue="1">
      <formula>NOT(ISBLANK(H5))</formula>
    </cfRule>
  </conditionalFormatting>
  <conditionalFormatting sqref="K5:K24 E5:I24 B56:K64 B65:B69 D65:K69 C65:C111 E25:K55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0">
    <cfRule type="expression" dxfId="134" priority="23" stopIfTrue="1">
      <formula>AND(NOT(ISBLANK(G40)),(TODAY()-G40)&lt;=days_since_last_1)</formula>
    </cfRule>
    <cfRule type="expression" dxfId="133" priority="24" stopIfTrue="1">
      <formula>(TODAY()-G40)&lt;=days_since_last_2</formula>
    </cfRule>
    <cfRule type="expression" dxfId="132" priority="25" stopIfTrue="1">
      <formula>NOT(ISBLANK(G40))</formula>
    </cfRule>
  </conditionalFormatting>
  <conditionalFormatting sqref="H40:H42">
    <cfRule type="expression" dxfId="131" priority="20" stopIfTrue="1">
      <formula>AND(NOT(ISBLANK(H40)),(TODAY()-H40)&lt;=days_since_last_1)</formula>
    </cfRule>
    <cfRule type="expression" dxfId="130" priority="21" stopIfTrue="1">
      <formula>(TODAY()-H40)&lt;=days_since_last_2</formula>
    </cfRule>
    <cfRule type="expression" dxfId="129" priority="22" stopIfTrue="1">
      <formula>NOT(ISBLANK(H40))</formula>
    </cfRule>
  </conditionalFormatting>
  <conditionalFormatting sqref="G42">
    <cfRule type="expression" dxfId="128" priority="17" stopIfTrue="1">
      <formula>AND(NOT(ISBLANK(G42)),(TODAY()-G42)&lt;=days_since_last_1)</formula>
    </cfRule>
    <cfRule type="expression" dxfId="127" priority="18" stopIfTrue="1">
      <formula>(TODAY()-G42)&lt;=days_since_last_2</formula>
    </cfRule>
    <cfRule type="expression" dxfId="126" priority="19" stopIfTrue="1">
      <formula>NOT(ISBLANK(G42))</formula>
    </cfRule>
  </conditionalFormatting>
  <conditionalFormatting sqref="G14">
    <cfRule type="expression" dxfId="125" priority="14" stopIfTrue="1">
      <formula>AND(NOT(ISBLANK(G14)),(TODAY()-G14)&lt;=days_since_last_1)</formula>
    </cfRule>
    <cfRule type="expression" dxfId="124" priority="15" stopIfTrue="1">
      <formula>(TODAY()-G14)&lt;=days_since_last_2</formula>
    </cfRule>
    <cfRule type="expression" dxfId="123" priority="16" stopIfTrue="1">
      <formula>NOT(ISBLANK(G14))</formula>
    </cfRule>
  </conditionalFormatting>
  <conditionalFormatting sqref="G38">
    <cfRule type="expression" dxfId="122" priority="11" stopIfTrue="1">
      <formula>AND(NOT(ISBLANK(G38)),(TODAY()-G38)&lt;=days_since_last_1)</formula>
    </cfRule>
    <cfRule type="expression" dxfId="121" priority="12" stopIfTrue="1">
      <formula>(TODAY()-G38)&lt;=days_since_last_2</formula>
    </cfRule>
    <cfRule type="expression" dxfId="120" priority="13" stopIfTrue="1">
      <formula>NOT(ISBLANK(G38))</formula>
    </cfRule>
  </conditionalFormatting>
  <conditionalFormatting sqref="G40">
    <cfRule type="expression" dxfId="119" priority="8" stopIfTrue="1">
      <formula>(G40-TODAY())&gt;=days_until_next_1</formula>
    </cfRule>
    <cfRule type="expression" dxfId="118" priority="9" stopIfTrue="1">
      <formula>(G40-TODAY())&gt;=days_until_next_2</formula>
    </cfRule>
    <cfRule type="expression" dxfId="117" priority="10" stopIfTrue="1">
      <formula>NOT(ISBLANK(G40))</formula>
    </cfRule>
  </conditionalFormatting>
  <conditionalFormatting sqref="G40">
    <cfRule type="expression" dxfId="116" priority="5" stopIfTrue="1">
      <formula>AND(NOT(ISBLANK(G40)),(TODAY()-G40)&lt;=days_since_last_1)</formula>
    </cfRule>
    <cfRule type="expression" dxfId="115" priority="6" stopIfTrue="1">
      <formula>(TODAY()-G40)&lt;=days_since_last_2</formula>
    </cfRule>
    <cfRule type="expression" dxfId="114" priority="7" stopIfTrue="1">
      <formula>NOT(ISBLANK(G40))</formula>
    </cfRule>
  </conditionalFormatting>
  <conditionalFormatting sqref="F46">
    <cfRule type="expression" dxfId="113" priority="2" stopIfTrue="1">
      <formula>(F46-TODAY())&gt;=days_until_next_1</formula>
    </cfRule>
    <cfRule type="expression" dxfId="112" priority="3" stopIfTrue="1">
      <formula>(F46-TODAY())&gt;=days_until_next_2</formula>
    </cfRule>
    <cfRule type="expression" dxfId="111" priority="4" stopIfTrue="1">
      <formula>NOT(ISBLANK(F46))</formula>
    </cfRule>
  </conditionalFormatting>
  <conditionalFormatting sqref="B5:D8 B9:B13 D9:D13 C9:C5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3">
    <dataValidation type="list" allowBlank="1" showInputMessage="1" showErrorMessage="1" sqref="J25:J69">
      <formula1>lead_source</formula1>
    </dataValidation>
    <dataValidation type="list" allowBlank="1" showInputMessage="1" showErrorMessage="1" sqref="I5:I111">
      <formula1>lead_status</formula1>
    </dataValidation>
    <dataValidation allowBlank="1" promptTitle="Choose Column Headings" prompt="When this cell is selected, a 2nd down arrow should appear to the right.  Click on this arrow to customize the heading or simply type in your own heading." sqref="A4:K4 M6 M18 M34"/>
  </dataValidations>
  <printOptions horizontalCentered="1"/>
  <pageMargins left="0.5" right="0.5" top="0.5" bottom="0.5" header="0.25" footer="0.25"/>
  <pageSetup scale="56" fitToHeight="0" orientation="landscape" r:id="rId1"/>
  <headerFooter scaleWithDoc="0">
    <oddHeader>&amp;R&amp;8Page &amp;P of &amp;N</oddHeader>
    <oddFooter>&amp;R&amp;8Page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0" operator="equal" id="{DC88FF5B-8432-4EE0-95B4-14CAA6E20434}">
            <xm:f>تنظیمات!$A$8</xm:f>
            <x14:dxf>
              <fill>
                <patternFill>
                  <bgColor rgb="FFFF9999"/>
                </patternFill>
              </fill>
            </x14:dxf>
          </x14:cfRule>
          <x14:cfRule type="cellIs" priority="31" operator="equal" id="{A6B5267F-18B4-4466-BB79-7E419D823363}">
            <xm:f>تنظیمات!$A$7</xm:f>
            <x14:dxf>
              <fill>
                <patternFill>
                  <bgColor rgb="FFFFCC99"/>
                </patternFill>
              </fill>
            </x14:dxf>
          </x14:cfRule>
          <x14:cfRule type="cellIs" priority="32" operator="equal" id="{8D38FD84-3801-4C70-95EC-1B1CAC78BCC9}">
            <xm:f>تنظیمات!$A$6</xm:f>
            <x14:dxf>
              <fill>
                <patternFill>
                  <bgColor rgb="FF66CCFF"/>
                </patternFill>
              </fill>
            </x14:dxf>
          </x14:cfRule>
          <xm:sqref>I5:I111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N112"/>
  <sheetViews>
    <sheetView showGridLines="0" showRowColHeaders="0" zoomScaleNormal="100" zoomScaleSheetLayoutView="85" workbookViewId="0">
      <pane ySplit="4" topLeftCell="A5" activePane="bottomLeft" state="frozen"/>
      <selection pane="bottomLeft" activeCell="F9" sqref="F9"/>
    </sheetView>
  </sheetViews>
  <sheetFormatPr defaultColWidth="9.140625" defaultRowHeight="12.75" x14ac:dyDescent="0.2"/>
  <cols>
    <col min="1" max="1" width="16" style="8" customWidth="1"/>
    <col min="2" max="2" width="9.7109375" style="1" customWidth="1"/>
    <col min="3" max="3" width="16.5703125" style="8" customWidth="1"/>
    <col min="4" max="4" width="12.7109375" style="8" customWidth="1"/>
    <col min="5" max="5" width="13.28515625" style="9" customWidth="1"/>
    <col min="6" max="6" width="11.140625" style="1" customWidth="1"/>
    <col min="7" max="7" width="11.42578125" style="1" customWidth="1"/>
    <col min="8" max="8" width="10.7109375" style="1" customWidth="1"/>
    <col min="9" max="9" width="19.5703125" style="1" customWidth="1"/>
    <col min="10" max="10" width="16.5703125" style="1" customWidth="1"/>
    <col min="11" max="11" width="92.5703125" style="1" customWidth="1"/>
    <col min="12" max="12" width="6.42578125" style="1" customWidth="1"/>
    <col min="13" max="13" width="24.85546875" style="1" customWidth="1"/>
    <col min="14" max="14" width="19.140625" style="1" customWidth="1"/>
    <col min="15" max="16384" width="9.140625" style="1"/>
  </cols>
  <sheetData>
    <row r="1" spans="1:14" x14ac:dyDescent="0.2">
      <c r="A1" s="33" t="s">
        <v>1</v>
      </c>
      <c r="D1" s="8" t="s">
        <v>0</v>
      </c>
    </row>
    <row r="2" spans="1:14" x14ac:dyDescent="0.2">
      <c r="A2" s="8" t="s">
        <v>31</v>
      </c>
      <c r="M2" s="12"/>
    </row>
    <row r="3" spans="1:14" ht="28.5" customHeight="1" x14ac:dyDescent="0.2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N3" s="2"/>
    </row>
    <row r="4" spans="1:14" ht="25.5" x14ac:dyDescent="0.2">
      <c r="A4" s="13" t="s">
        <v>2</v>
      </c>
      <c r="B4" s="13" t="s">
        <v>3</v>
      </c>
      <c r="C4" s="13" t="s">
        <v>12</v>
      </c>
      <c r="D4" s="13" t="s">
        <v>4</v>
      </c>
      <c r="E4" s="39" t="s">
        <v>11</v>
      </c>
      <c r="F4" s="13" t="s">
        <v>10</v>
      </c>
      <c r="G4" s="13" t="s">
        <v>9</v>
      </c>
      <c r="H4" s="13" t="s">
        <v>8</v>
      </c>
      <c r="I4" s="13" t="s">
        <v>7</v>
      </c>
      <c r="J4" s="13" t="s">
        <v>6</v>
      </c>
      <c r="K4" s="13" t="s">
        <v>5</v>
      </c>
    </row>
    <row r="5" spans="1:14" s="7" customFormat="1" x14ac:dyDescent="0.2">
      <c r="A5" s="34" t="s">
        <v>241</v>
      </c>
      <c r="B5" s="3"/>
      <c r="C5" s="35" t="s">
        <v>73</v>
      </c>
      <c r="D5" s="34">
        <v>9126476930</v>
      </c>
      <c r="E5" s="38"/>
      <c r="F5" s="40" t="s">
        <v>298</v>
      </c>
      <c r="G5" s="5"/>
      <c r="H5" s="4"/>
      <c r="I5" s="6"/>
      <c r="J5" s="17"/>
      <c r="K5" s="3"/>
    </row>
    <row r="6" spans="1:14" s="7" customFormat="1" ht="13.5" customHeight="1" x14ac:dyDescent="0.2">
      <c r="A6" s="35" t="s">
        <v>242</v>
      </c>
      <c r="B6" s="3"/>
      <c r="C6" s="35" t="s">
        <v>73</v>
      </c>
      <c r="D6" s="35">
        <v>9194388504</v>
      </c>
      <c r="E6" s="38"/>
      <c r="F6" s="40" t="s">
        <v>298</v>
      </c>
      <c r="G6" s="5"/>
      <c r="H6" s="4"/>
      <c r="I6" s="36"/>
      <c r="J6" s="17"/>
      <c r="K6" s="3"/>
      <c r="M6" s="30" t="s">
        <v>13</v>
      </c>
    </row>
    <row r="7" spans="1:14" s="7" customFormat="1" ht="13.5" customHeight="1" x14ac:dyDescent="0.2">
      <c r="A7" s="34" t="s">
        <v>243</v>
      </c>
      <c r="B7" s="3"/>
      <c r="C7" s="35" t="s">
        <v>73</v>
      </c>
      <c r="D7" s="34">
        <v>9123148916</v>
      </c>
      <c r="E7" s="38"/>
      <c r="F7" s="40" t="s">
        <v>298</v>
      </c>
      <c r="G7" s="5"/>
      <c r="H7" s="4"/>
      <c r="I7" s="37"/>
      <c r="J7" s="17"/>
      <c r="K7" s="3"/>
      <c r="M7" s="18"/>
    </row>
    <row r="8" spans="1:14" s="7" customFormat="1" x14ac:dyDescent="0.2">
      <c r="A8" s="49" t="s">
        <v>296</v>
      </c>
      <c r="B8" s="45"/>
      <c r="C8" s="35" t="s">
        <v>73</v>
      </c>
      <c r="D8" s="55">
        <v>9122876504</v>
      </c>
      <c r="E8" s="46"/>
      <c r="F8" s="40" t="s">
        <v>298</v>
      </c>
      <c r="G8" s="48"/>
      <c r="H8" s="47"/>
      <c r="I8" s="56"/>
      <c r="J8" s="45"/>
      <c r="K8" s="45"/>
      <c r="M8" s="23" t="s">
        <v>15</v>
      </c>
    </row>
    <row r="9" spans="1:14" s="7" customFormat="1" x14ac:dyDescent="0.2">
      <c r="A9" s="35" t="s">
        <v>295</v>
      </c>
      <c r="B9" s="3"/>
      <c r="C9" s="35" t="s">
        <v>73</v>
      </c>
      <c r="D9" s="35">
        <v>9123488147</v>
      </c>
      <c r="E9" s="38"/>
      <c r="F9" s="40" t="s">
        <v>298</v>
      </c>
      <c r="G9" s="5"/>
      <c r="H9" s="4"/>
      <c r="I9" s="44"/>
      <c r="J9" s="17"/>
      <c r="K9" s="3"/>
      <c r="M9" s="24">
        <v>2</v>
      </c>
    </row>
    <row r="10" spans="1:14" s="7" customFormat="1" x14ac:dyDescent="0.2">
      <c r="A10" s="34" t="s">
        <v>244</v>
      </c>
      <c r="B10" s="3"/>
      <c r="C10" s="35" t="s">
        <v>73</v>
      </c>
      <c r="D10" s="34">
        <v>9125968417</v>
      </c>
      <c r="E10" s="38"/>
      <c r="F10" s="4"/>
      <c r="G10" s="5"/>
      <c r="H10" s="4"/>
      <c r="I10" s="43"/>
      <c r="J10" s="17"/>
      <c r="K10" s="3"/>
      <c r="M10" s="26">
        <v>5</v>
      </c>
    </row>
    <row r="11" spans="1:14" s="7" customFormat="1" x14ac:dyDescent="0.2">
      <c r="A11" s="35" t="s">
        <v>245</v>
      </c>
      <c r="B11" s="3"/>
      <c r="C11" s="35" t="s">
        <v>73</v>
      </c>
      <c r="D11" s="35">
        <v>9127991936</v>
      </c>
      <c r="E11" s="38"/>
      <c r="F11" s="40" t="s">
        <v>298</v>
      </c>
      <c r="G11" s="5"/>
      <c r="H11" s="4"/>
      <c r="I11" s="36"/>
      <c r="J11" s="17"/>
      <c r="K11" s="3"/>
      <c r="M11" s="27" t="str">
        <f>"&gt; "&amp;days_since_last_2</f>
        <v>&gt; 6</v>
      </c>
    </row>
    <row r="12" spans="1:14" s="7" customFormat="1" x14ac:dyDescent="0.2">
      <c r="A12" s="34" t="s">
        <v>246</v>
      </c>
      <c r="B12" s="3"/>
      <c r="C12" s="35" t="s">
        <v>73</v>
      </c>
      <c r="D12" s="34">
        <v>9121725031</v>
      </c>
      <c r="E12" s="38"/>
      <c r="F12" s="40" t="s">
        <v>298</v>
      </c>
      <c r="G12" s="5"/>
      <c r="H12" s="4"/>
      <c r="I12" s="36"/>
      <c r="J12" s="17"/>
      <c r="K12" s="3"/>
      <c r="M12" s="14"/>
    </row>
    <row r="13" spans="1:14" s="7" customFormat="1" x14ac:dyDescent="0.2">
      <c r="A13" s="35" t="s">
        <v>247</v>
      </c>
      <c r="B13" s="3"/>
      <c r="C13" s="35" t="s">
        <v>73</v>
      </c>
      <c r="D13" s="35">
        <v>9121916518</v>
      </c>
      <c r="E13" s="38"/>
      <c r="F13" s="40" t="s">
        <v>298</v>
      </c>
      <c r="G13" s="5"/>
      <c r="H13" s="4"/>
      <c r="I13" s="37"/>
      <c r="J13" s="17"/>
      <c r="K13" s="3"/>
      <c r="M13" s="23" t="s">
        <v>14</v>
      </c>
    </row>
    <row r="14" spans="1:14" s="7" customFormat="1" x14ac:dyDescent="0.2">
      <c r="A14" s="34" t="s">
        <v>248</v>
      </c>
      <c r="B14" s="3"/>
      <c r="C14" s="35" t="s">
        <v>73</v>
      </c>
      <c r="D14" s="34">
        <v>9125729565</v>
      </c>
      <c r="E14" s="38"/>
      <c r="F14" s="40" t="s">
        <v>298</v>
      </c>
      <c r="G14" s="5"/>
      <c r="H14" s="4"/>
      <c r="I14" s="36"/>
      <c r="J14" s="17"/>
      <c r="K14" s="3"/>
      <c r="M14" s="24">
        <v>10</v>
      </c>
    </row>
    <row r="15" spans="1:14" s="7" customFormat="1" x14ac:dyDescent="0.2">
      <c r="A15" s="35" t="s">
        <v>249</v>
      </c>
      <c r="B15" s="3"/>
      <c r="C15" s="35" t="s">
        <v>70</v>
      </c>
      <c r="D15" s="35">
        <v>9128190764</v>
      </c>
      <c r="E15" s="38"/>
      <c r="F15" s="4"/>
      <c r="G15" s="4"/>
      <c r="H15" s="4"/>
      <c r="I15" s="5"/>
      <c r="J15" s="17"/>
      <c r="K15" s="3"/>
      <c r="M15" s="26">
        <v>5</v>
      </c>
    </row>
    <row r="16" spans="1:14" s="7" customFormat="1" x14ac:dyDescent="0.2">
      <c r="A16" s="34" t="s">
        <v>250</v>
      </c>
      <c r="B16" s="3"/>
      <c r="C16" s="35" t="s">
        <v>70</v>
      </c>
      <c r="D16" s="34">
        <v>9196967357</v>
      </c>
      <c r="E16" s="38"/>
      <c r="F16" s="4"/>
      <c r="G16" s="5"/>
      <c r="H16" s="4"/>
      <c r="I16" s="5"/>
      <c r="J16" s="17"/>
      <c r="K16" s="3"/>
      <c r="M16" s="27" t="str">
        <f>"&lt; "&amp;days_until_next_2</f>
        <v>&lt; 4</v>
      </c>
    </row>
    <row r="17" spans="1:13" s="7" customFormat="1" x14ac:dyDescent="0.2">
      <c r="A17" s="35" t="s">
        <v>251</v>
      </c>
      <c r="B17" s="3"/>
      <c r="C17" s="35" t="s">
        <v>70</v>
      </c>
      <c r="D17" s="35">
        <v>9384435833</v>
      </c>
      <c r="E17" s="38"/>
      <c r="F17" s="4"/>
      <c r="G17" s="5"/>
      <c r="H17" s="4"/>
      <c r="I17" s="43"/>
      <c r="J17" s="17"/>
      <c r="K17" s="3"/>
    </row>
    <row r="18" spans="1:13" s="7" customFormat="1" x14ac:dyDescent="0.2">
      <c r="A18" s="34" t="s">
        <v>297</v>
      </c>
      <c r="B18" s="3"/>
      <c r="C18" s="35" t="s">
        <v>70</v>
      </c>
      <c r="D18" s="34">
        <v>9125853275</v>
      </c>
      <c r="E18" s="38"/>
      <c r="F18" s="4"/>
      <c r="G18" s="5"/>
      <c r="H18" s="4"/>
      <c r="I18" s="43"/>
      <c r="J18" s="17"/>
      <c r="K18" s="3"/>
      <c r="M18" s="29" t="s">
        <v>6</v>
      </c>
    </row>
    <row r="19" spans="1:13" s="7" customFormat="1" x14ac:dyDescent="0.2">
      <c r="A19" s="35" t="s">
        <v>252</v>
      </c>
      <c r="B19" s="3"/>
      <c r="C19" s="35" t="s">
        <v>73</v>
      </c>
      <c r="D19" s="35">
        <v>9121910441</v>
      </c>
      <c r="E19" s="38"/>
      <c r="F19" s="4"/>
      <c r="G19" s="5"/>
      <c r="H19" s="4"/>
      <c r="I19" s="37"/>
      <c r="J19" s="17"/>
      <c r="K19" s="3"/>
      <c r="M19" s="17"/>
    </row>
    <row r="20" spans="1:13" x14ac:dyDescent="0.2">
      <c r="A20" s="34" t="s">
        <v>253</v>
      </c>
      <c r="B20" s="3"/>
      <c r="C20" s="35" t="s">
        <v>73</v>
      </c>
      <c r="D20" s="34">
        <v>9127918567</v>
      </c>
      <c r="E20" s="38"/>
      <c r="F20" s="4"/>
      <c r="G20" s="5"/>
      <c r="H20" s="4"/>
      <c r="I20" s="42"/>
      <c r="J20" s="17"/>
      <c r="K20" s="3"/>
      <c r="M20" s="17" t="s">
        <v>32</v>
      </c>
    </row>
    <row r="21" spans="1:13" x14ac:dyDescent="0.2">
      <c r="A21" s="35" t="s">
        <v>257</v>
      </c>
      <c r="B21" s="3"/>
      <c r="C21" s="35" t="s">
        <v>70</v>
      </c>
      <c r="D21" s="35">
        <v>9167485227</v>
      </c>
      <c r="E21" s="38"/>
      <c r="F21" s="4"/>
      <c r="G21" s="5"/>
      <c r="H21" s="4"/>
      <c r="I21" s="42"/>
      <c r="J21" s="17"/>
      <c r="K21" s="3"/>
      <c r="M21" s="17" t="s">
        <v>33</v>
      </c>
    </row>
    <row r="22" spans="1:13" x14ac:dyDescent="0.2">
      <c r="A22" s="34" t="s">
        <v>258</v>
      </c>
      <c r="B22" s="3"/>
      <c r="C22" s="35" t="s">
        <v>70</v>
      </c>
      <c r="D22" s="34">
        <v>9330656021</v>
      </c>
      <c r="E22" s="38"/>
      <c r="F22" s="4"/>
      <c r="G22" s="5"/>
      <c r="H22" s="4"/>
      <c r="I22" s="36"/>
      <c r="J22" s="17"/>
      <c r="K22" s="3"/>
      <c r="M22" s="17" t="s">
        <v>34</v>
      </c>
    </row>
    <row r="23" spans="1:13" x14ac:dyDescent="0.2">
      <c r="A23" s="35" t="s">
        <v>259</v>
      </c>
      <c r="B23" s="3"/>
      <c r="C23" s="35" t="s">
        <v>70</v>
      </c>
      <c r="D23" s="35">
        <v>9359718395</v>
      </c>
      <c r="E23" s="38"/>
      <c r="F23" s="4"/>
      <c r="G23" s="5"/>
      <c r="H23" s="4"/>
      <c r="I23" s="36"/>
      <c r="J23" s="17"/>
      <c r="K23" s="3"/>
      <c r="M23" s="17" t="s">
        <v>35</v>
      </c>
    </row>
    <row r="24" spans="1:13" x14ac:dyDescent="0.2">
      <c r="A24" s="34" t="s">
        <v>260</v>
      </c>
      <c r="B24" s="3"/>
      <c r="C24" s="35" t="s">
        <v>70</v>
      </c>
      <c r="D24" s="34">
        <v>9378761944</v>
      </c>
      <c r="E24" s="38"/>
      <c r="F24" s="4"/>
      <c r="G24" s="5"/>
      <c r="H24" s="4"/>
      <c r="I24" s="36"/>
      <c r="J24" s="17"/>
      <c r="K24" s="3"/>
      <c r="M24" s="17" t="s">
        <v>36</v>
      </c>
    </row>
    <row r="25" spans="1:13" x14ac:dyDescent="0.2">
      <c r="A25" s="35" t="s">
        <v>261</v>
      </c>
      <c r="B25" s="3"/>
      <c r="C25" s="35" t="s">
        <v>70</v>
      </c>
      <c r="D25" s="35">
        <v>9106726095</v>
      </c>
      <c r="E25" s="38"/>
      <c r="F25" s="4"/>
      <c r="G25" s="5"/>
      <c r="H25" s="4"/>
      <c r="I25" s="5"/>
      <c r="J25" s="17"/>
      <c r="K25" s="3"/>
      <c r="M25" s="17"/>
    </row>
    <row r="26" spans="1:13" x14ac:dyDescent="0.2">
      <c r="A26" s="34" t="s">
        <v>262</v>
      </c>
      <c r="B26" s="3"/>
      <c r="C26" s="35" t="s">
        <v>70</v>
      </c>
      <c r="D26" s="34">
        <v>9128051942</v>
      </c>
      <c r="E26" s="38"/>
      <c r="F26" s="4"/>
      <c r="G26" s="5"/>
      <c r="H26" s="4"/>
      <c r="I26" s="37"/>
      <c r="J26" s="3"/>
      <c r="K26" s="3"/>
      <c r="M26" s="17"/>
    </row>
    <row r="27" spans="1:13" x14ac:dyDescent="0.2">
      <c r="A27" s="35" t="s">
        <v>263</v>
      </c>
      <c r="B27" s="3"/>
      <c r="C27" s="35" t="s">
        <v>70</v>
      </c>
      <c r="D27" s="35">
        <v>9194773217</v>
      </c>
      <c r="E27" s="38"/>
      <c r="F27" s="4"/>
      <c r="G27" s="5"/>
      <c r="H27" s="4"/>
      <c r="I27" s="5"/>
      <c r="J27" s="3"/>
      <c r="K27" s="3"/>
      <c r="M27" s="17"/>
    </row>
    <row r="28" spans="1:13" x14ac:dyDescent="0.2">
      <c r="A28" s="34" t="s">
        <v>264</v>
      </c>
      <c r="B28" s="3"/>
      <c r="C28" s="35" t="s">
        <v>70</v>
      </c>
      <c r="D28" s="34">
        <v>9126958217</v>
      </c>
      <c r="E28" s="38"/>
      <c r="F28" s="4"/>
      <c r="G28" s="5"/>
      <c r="H28" s="4"/>
      <c r="I28" s="37"/>
      <c r="J28" s="3"/>
      <c r="K28" s="3"/>
      <c r="M28" s="17"/>
    </row>
    <row r="29" spans="1:13" x14ac:dyDescent="0.2">
      <c r="A29" s="35" t="s">
        <v>265</v>
      </c>
      <c r="B29" s="3"/>
      <c r="C29" s="35" t="s">
        <v>70</v>
      </c>
      <c r="D29" s="35">
        <v>9127610454</v>
      </c>
      <c r="E29" s="38"/>
      <c r="F29" s="4"/>
      <c r="G29" s="5"/>
      <c r="H29" s="4"/>
      <c r="I29" s="5"/>
      <c r="J29" s="3"/>
      <c r="K29" s="3"/>
      <c r="M29" s="17"/>
    </row>
    <row r="30" spans="1:13" x14ac:dyDescent="0.2">
      <c r="A30" s="34" t="s">
        <v>266</v>
      </c>
      <c r="B30" s="3"/>
      <c r="C30" s="35" t="s">
        <v>70</v>
      </c>
      <c r="D30" s="34">
        <v>9197086029</v>
      </c>
      <c r="E30" s="38"/>
      <c r="F30" s="4"/>
      <c r="G30" s="5"/>
      <c r="H30" s="4"/>
      <c r="I30" s="44"/>
      <c r="J30" s="3"/>
      <c r="K30" s="3"/>
      <c r="M30" s="17"/>
    </row>
    <row r="31" spans="1:13" x14ac:dyDescent="0.2">
      <c r="A31" s="35" t="s">
        <v>267</v>
      </c>
      <c r="B31" s="3"/>
      <c r="C31" s="35" t="s">
        <v>70</v>
      </c>
      <c r="D31" s="35">
        <v>9153717300</v>
      </c>
      <c r="E31" s="38"/>
      <c r="F31" s="4"/>
      <c r="G31" s="5"/>
      <c r="H31" s="4"/>
      <c r="I31" s="37"/>
      <c r="J31" s="3"/>
      <c r="K31" s="3"/>
      <c r="M31" s="16"/>
    </row>
    <row r="32" spans="1:13" x14ac:dyDescent="0.2">
      <c r="A32" s="34" t="s">
        <v>268</v>
      </c>
      <c r="B32" s="3"/>
      <c r="C32" s="35" t="s">
        <v>70</v>
      </c>
      <c r="D32" s="34">
        <v>9122985843</v>
      </c>
      <c r="E32" s="38"/>
      <c r="F32" s="4"/>
      <c r="G32" s="5"/>
      <c r="H32" s="4"/>
      <c r="I32" s="37"/>
      <c r="J32" s="3"/>
      <c r="K32" s="3"/>
      <c r="L32" s="10"/>
      <c r="M32" s="16"/>
    </row>
    <row r="33" spans="1:13" x14ac:dyDescent="0.2">
      <c r="A33" s="35" t="s">
        <v>269</v>
      </c>
      <c r="B33" s="3"/>
      <c r="C33" s="35" t="s">
        <v>70</v>
      </c>
      <c r="D33" s="35">
        <v>9126964692</v>
      </c>
      <c r="E33" s="38"/>
      <c r="F33" s="4"/>
      <c r="G33" s="5"/>
      <c r="H33" s="4"/>
      <c r="I33" s="37"/>
      <c r="J33" s="3"/>
      <c r="K33" s="3"/>
      <c r="L33" s="10"/>
    </row>
    <row r="34" spans="1:13" x14ac:dyDescent="0.2">
      <c r="A34" s="34" t="s">
        <v>270</v>
      </c>
      <c r="B34" s="3"/>
      <c r="C34" s="35" t="s">
        <v>70</v>
      </c>
      <c r="D34" s="34">
        <v>9195257942</v>
      </c>
      <c r="E34" s="38"/>
      <c r="F34" s="4"/>
      <c r="G34" s="5"/>
      <c r="H34" s="4"/>
      <c r="I34" s="5"/>
      <c r="J34" s="3"/>
      <c r="K34" s="3"/>
      <c r="L34" s="10"/>
      <c r="M34" s="29" t="s">
        <v>7</v>
      </c>
    </row>
    <row r="35" spans="1:13" x14ac:dyDescent="0.2">
      <c r="A35" s="35" t="s">
        <v>271</v>
      </c>
      <c r="B35" s="3"/>
      <c r="C35" s="35" t="s">
        <v>70</v>
      </c>
      <c r="D35" s="35">
        <v>9963489277</v>
      </c>
      <c r="E35" s="38"/>
      <c r="F35" s="4"/>
      <c r="G35" s="5"/>
      <c r="H35" s="4"/>
      <c r="I35" s="5"/>
      <c r="J35" s="3"/>
      <c r="K35" s="3"/>
      <c r="L35" s="10"/>
      <c r="M35" s="16"/>
    </row>
    <row r="36" spans="1:13" x14ac:dyDescent="0.2">
      <c r="A36" s="34" t="s">
        <v>272</v>
      </c>
      <c r="B36" s="3"/>
      <c r="C36" s="35" t="s">
        <v>70</v>
      </c>
      <c r="D36" s="34">
        <v>9908780360</v>
      </c>
      <c r="E36" s="38"/>
      <c r="F36" s="4"/>
      <c r="G36" s="5"/>
      <c r="H36" s="4"/>
      <c r="I36" s="44"/>
      <c r="J36" s="3"/>
      <c r="K36" s="3"/>
      <c r="L36" s="10"/>
      <c r="M36" s="17" t="s">
        <v>20</v>
      </c>
    </row>
    <row r="37" spans="1:13" x14ac:dyDescent="0.2">
      <c r="A37" s="35" t="s">
        <v>273</v>
      </c>
      <c r="B37" s="3"/>
      <c r="C37" s="35" t="s">
        <v>70</v>
      </c>
      <c r="D37" s="35">
        <v>9198401463</v>
      </c>
      <c r="E37" s="38"/>
      <c r="F37" s="4"/>
      <c r="G37" s="5"/>
      <c r="H37" s="4"/>
      <c r="I37" s="37"/>
      <c r="J37" s="3"/>
      <c r="K37" s="3"/>
      <c r="L37" s="10"/>
      <c r="M37" s="17" t="s">
        <v>21</v>
      </c>
    </row>
    <row r="38" spans="1:13" x14ac:dyDescent="0.2">
      <c r="A38" s="34" t="s">
        <v>274</v>
      </c>
      <c r="B38" s="3"/>
      <c r="C38" s="35" t="s">
        <v>70</v>
      </c>
      <c r="D38" s="34">
        <v>9109029908</v>
      </c>
      <c r="E38" s="38"/>
      <c r="F38" s="4"/>
      <c r="G38" s="5"/>
      <c r="H38" s="4"/>
      <c r="I38" s="37"/>
      <c r="J38" s="3"/>
      <c r="K38" s="3"/>
      <c r="L38" s="10"/>
      <c r="M38" s="25" t="s">
        <v>22</v>
      </c>
    </row>
    <row r="39" spans="1:13" x14ac:dyDescent="0.2">
      <c r="A39" s="35" t="s">
        <v>275</v>
      </c>
      <c r="B39" s="3"/>
      <c r="C39" s="35" t="s">
        <v>70</v>
      </c>
      <c r="D39" s="35">
        <v>9057050561</v>
      </c>
      <c r="E39" s="38"/>
      <c r="F39" s="4"/>
      <c r="G39" s="4"/>
      <c r="H39" s="4"/>
      <c r="I39" s="36"/>
      <c r="J39" s="3"/>
      <c r="K39" s="3"/>
      <c r="L39" s="10"/>
      <c r="M39" s="25" t="s">
        <v>23</v>
      </c>
    </row>
    <row r="40" spans="1:13" x14ac:dyDescent="0.2">
      <c r="A40" s="34" t="s">
        <v>276</v>
      </c>
      <c r="B40" s="3"/>
      <c r="C40" s="35" t="s">
        <v>70</v>
      </c>
      <c r="D40" s="34">
        <v>9393920362</v>
      </c>
      <c r="E40" s="38"/>
      <c r="F40" s="4"/>
      <c r="G40" s="5"/>
      <c r="H40" s="4"/>
      <c r="I40" s="44"/>
      <c r="J40" s="3"/>
      <c r="K40" s="3"/>
      <c r="M40" s="25" t="s">
        <v>24</v>
      </c>
    </row>
    <row r="41" spans="1:13" x14ac:dyDescent="0.2">
      <c r="A41" s="34" t="s">
        <v>266</v>
      </c>
      <c r="B41" s="3"/>
      <c r="C41" s="35" t="s">
        <v>70</v>
      </c>
      <c r="D41" s="3">
        <v>9127913986</v>
      </c>
      <c r="E41" s="38"/>
      <c r="F41" s="4"/>
      <c r="G41" s="4"/>
      <c r="H41" s="4"/>
      <c r="I41" s="37"/>
      <c r="J41" s="3"/>
      <c r="K41" s="3"/>
      <c r="M41" s="25" t="s">
        <v>25</v>
      </c>
    </row>
    <row r="42" spans="1:13" x14ac:dyDescent="0.2">
      <c r="A42" s="34" t="s">
        <v>277</v>
      </c>
      <c r="B42" s="3"/>
      <c r="C42" s="35" t="s">
        <v>70</v>
      </c>
      <c r="D42" s="3">
        <v>9126776648</v>
      </c>
      <c r="E42" s="38"/>
      <c r="F42" s="4"/>
      <c r="G42" s="5"/>
      <c r="H42" s="4"/>
      <c r="I42" s="37"/>
      <c r="J42" s="3"/>
      <c r="K42" s="3"/>
      <c r="M42" s="25" t="s">
        <v>26</v>
      </c>
    </row>
    <row r="43" spans="1:13" x14ac:dyDescent="0.2">
      <c r="A43" s="34" t="s">
        <v>278</v>
      </c>
      <c r="B43" s="3"/>
      <c r="C43" s="35" t="s">
        <v>70</v>
      </c>
      <c r="D43" s="3">
        <v>9128911265</v>
      </c>
      <c r="E43" s="38"/>
      <c r="F43" s="4"/>
      <c r="G43" s="4"/>
      <c r="H43" s="4"/>
      <c r="I43" s="36"/>
      <c r="J43" s="3"/>
      <c r="K43" s="3"/>
      <c r="M43" s="17" t="s">
        <v>27</v>
      </c>
    </row>
    <row r="44" spans="1:13" x14ac:dyDescent="0.2">
      <c r="A44" s="34" t="s">
        <v>279</v>
      </c>
      <c r="B44" s="3"/>
      <c r="C44" s="35" t="s">
        <v>70</v>
      </c>
      <c r="D44" s="3">
        <v>9125793279</v>
      </c>
      <c r="E44" s="38"/>
      <c r="F44" s="4"/>
      <c r="G44" s="5"/>
      <c r="H44" s="4"/>
      <c r="I44" s="5"/>
      <c r="J44" s="3"/>
      <c r="K44" s="3"/>
      <c r="M44" s="17" t="s">
        <v>28</v>
      </c>
    </row>
    <row r="45" spans="1:13" x14ac:dyDescent="0.2">
      <c r="A45" s="34" t="s">
        <v>280</v>
      </c>
      <c r="B45" s="3"/>
      <c r="C45" s="35" t="s">
        <v>70</v>
      </c>
      <c r="D45" s="3">
        <v>9109399141</v>
      </c>
      <c r="E45" s="38"/>
      <c r="F45" s="4"/>
      <c r="G45" s="5"/>
      <c r="H45" s="4"/>
      <c r="I45" s="5"/>
      <c r="J45" s="3"/>
      <c r="K45" s="3"/>
      <c r="M45" s="17" t="s">
        <v>29</v>
      </c>
    </row>
    <row r="46" spans="1:13" x14ac:dyDescent="0.2">
      <c r="A46" s="34" t="s">
        <v>281</v>
      </c>
      <c r="B46" s="3"/>
      <c r="C46" s="35" t="s">
        <v>70</v>
      </c>
      <c r="D46" s="3">
        <v>9125990321</v>
      </c>
      <c r="E46" s="38"/>
      <c r="F46" s="4"/>
      <c r="G46" s="5"/>
      <c r="H46" s="4"/>
      <c r="I46" s="5"/>
      <c r="J46" s="3"/>
      <c r="K46" s="3"/>
      <c r="M46" s="17" t="s">
        <v>30</v>
      </c>
    </row>
    <row r="47" spans="1:13" x14ac:dyDescent="0.2">
      <c r="A47" s="34" t="s">
        <v>282</v>
      </c>
      <c r="B47" s="3"/>
      <c r="C47" s="35" t="s">
        <v>70</v>
      </c>
      <c r="D47" s="3">
        <v>9124309508</v>
      </c>
      <c r="E47" s="38"/>
      <c r="F47" s="4"/>
      <c r="G47" s="5"/>
      <c r="H47" s="4"/>
      <c r="I47" s="5"/>
      <c r="J47" s="3"/>
      <c r="K47" s="3"/>
      <c r="M47" s="17"/>
    </row>
    <row r="48" spans="1:13" x14ac:dyDescent="0.2">
      <c r="A48" s="34" t="s">
        <v>283</v>
      </c>
      <c r="B48" s="3"/>
      <c r="C48" s="35" t="s">
        <v>70</v>
      </c>
      <c r="D48" s="3">
        <v>9357482742</v>
      </c>
      <c r="E48" s="38"/>
      <c r="F48" s="4"/>
      <c r="G48" s="5"/>
      <c r="H48" s="4"/>
      <c r="I48" s="5"/>
      <c r="J48" s="3"/>
      <c r="K48" s="3"/>
      <c r="M48" s="17"/>
    </row>
    <row r="49" spans="1:11" x14ac:dyDescent="0.2">
      <c r="A49" s="34" t="s">
        <v>284</v>
      </c>
      <c r="B49" s="3"/>
      <c r="C49" s="35" t="s">
        <v>70</v>
      </c>
      <c r="D49" s="3">
        <v>9192266498</v>
      </c>
      <c r="E49" s="38"/>
      <c r="F49" s="4"/>
      <c r="G49" s="5"/>
      <c r="H49" s="4"/>
      <c r="I49" s="5"/>
      <c r="J49" s="3"/>
      <c r="K49" s="3"/>
    </row>
    <row r="50" spans="1:11" x14ac:dyDescent="0.2">
      <c r="A50" s="34" t="s">
        <v>285</v>
      </c>
      <c r="B50" s="3"/>
      <c r="C50" s="35" t="s">
        <v>70</v>
      </c>
      <c r="D50" s="3">
        <v>9123751930</v>
      </c>
      <c r="E50" s="38"/>
      <c r="F50" s="4"/>
      <c r="G50" s="5"/>
      <c r="H50" s="4"/>
      <c r="I50" s="5"/>
      <c r="J50" s="3"/>
      <c r="K50" s="3"/>
    </row>
    <row r="51" spans="1:11" x14ac:dyDescent="0.2">
      <c r="A51" s="34" t="s">
        <v>286</v>
      </c>
      <c r="B51" s="3"/>
      <c r="C51" s="35" t="s">
        <v>70</v>
      </c>
      <c r="D51" s="3">
        <v>9035859873</v>
      </c>
      <c r="E51" s="38"/>
      <c r="F51" s="4"/>
      <c r="G51" s="5"/>
      <c r="H51" s="4"/>
      <c r="I51" s="5"/>
      <c r="J51" s="3"/>
      <c r="K51" s="3"/>
    </row>
    <row r="52" spans="1:11" x14ac:dyDescent="0.2">
      <c r="A52" s="34" t="s">
        <v>287</v>
      </c>
      <c r="B52" s="3"/>
      <c r="C52" s="35" t="s">
        <v>70</v>
      </c>
      <c r="D52" s="3">
        <v>9197697649</v>
      </c>
      <c r="E52" s="38"/>
      <c r="F52" s="4"/>
      <c r="G52" s="5"/>
      <c r="H52" s="4"/>
      <c r="I52" s="5"/>
      <c r="J52" s="3"/>
      <c r="K52" s="3"/>
    </row>
    <row r="53" spans="1:11" x14ac:dyDescent="0.2">
      <c r="A53" s="34" t="s">
        <v>265</v>
      </c>
      <c r="B53" s="3"/>
      <c r="C53" s="35" t="s">
        <v>70</v>
      </c>
      <c r="D53" s="3">
        <v>9364399050</v>
      </c>
      <c r="E53" s="38"/>
      <c r="F53" s="4"/>
      <c r="G53" s="5"/>
      <c r="H53" s="4"/>
      <c r="I53" s="5"/>
      <c r="J53" s="3"/>
      <c r="K53" s="3"/>
    </row>
    <row r="54" spans="1:11" x14ac:dyDescent="0.2">
      <c r="A54" s="34" t="s">
        <v>288</v>
      </c>
      <c r="B54" s="3"/>
      <c r="C54" s="35" t="s">
        <v>70</v>
      </c>
      <c r="D54" s="3">
        <v>9123216717</v>
      </c>
      <c r="E54" s="38"/>
      <c r="F54" s="4"/>
      <c r="G54" s="5"/>
      <c r="H54" s="4"/>
      <c r="I54" s="5"/>
      <c r="J54" s="3"/>
      <c r="K54" s="3"/>
    </row>
    <row r="55" spans="1:11" x14ac:dyDescent="0.2">
      <c r="A55" s="34" t="s">
        <v>289</v>
      </c>
      <c r="B55" s="3"/>
      <c r="C55" s="35" t="s">
        <v>70</v>
      </c>
      <c r="D55" s="3">
        <v>9337270835</v>
      </c>
      <c r="E55" s="38"/>
      <c r="F55" s="4"/>
      <c r="G55" s="5"/>
      <c r="H55" s="4"/>
      <c r="I55" s="5"/>
      <c r="J55" s="3"/>
      <c r="K55" s="3"/>
    </row>
    <row r="56" spans="1:11" x14ac:dyDescent="0.2">
      <c r="A56" s="34" t="s">
        <v>290</v>
      </c>
      <c r="B56" s="3"/>
      <c r="C56" s="35" t="s">
        <v>70</v>
      </c>
      <c r="D56" s="3">
        <v>9305806851</v>
      </c>
      <c r="E56" s="38"/>
      <c r="F56" s="4"/>
      <c r="G56" s="5"/>
      <c r="H56" s="4"/>
      <c r="I56" s="5"/>
      <c r="J56" s="3"/>
      <c r="K56" s="3"/>
    </row>
    <row r="57" spans="1:11" x14ac:dyDescent="0.2">
      <c r="A57" s="34" t="s">
        <v>283</v>
      </c>
      <c r="B57" s="3"/>
      <c r="C57" s="35" t="s">
        <v>70</v>
      </c>
      <c r="D57" s="3">
        <v>9122914460</v>
      </c>
      <c r="E57" s="38"/>
      <c r="F57" s="4"/>
      <c r="G57" s="5"/>
      <c r="H57" s="4"/>
      <c r="I57" s="5"/>
      <c r="J57" s="3"/>
      <c r="K57" s="3"/>
    </row>
    <row r="58" spans="1:11" x14ac:dyDescent="0.2">
      <c r="A58" s="34"/>
      <c r="B58" s="3"/>
      <c r="C58" s="35"/>
      <c r="D58" s="3"/>
      <c r="E58" s="38"/>
      <c r="F58" s="4"/>
      <c r="G58" s="5"/>
      <c r="H58" s="4"/>
      <c r="I58" s="5"/>
      <c r="J58" s="3"/>
      <c r="K58" s="3"/>
    </row>
    <row r="59" spans="1:11" x14ac:dyDescent="0.2">
      <c r="A59" s="34"/>
      <c r="B59" s="3"/>
      <c r="C59" s="35"/>
      <c r="D59" s="3"/>
      <c r="E59" s="38"/>
      <c r="F59" s="4"/>
      <c r="G59" s="5"/>
      <c r="H59" s="4"/>
      <c r="I59" s="5"/>
      <c r="J59" s="3"/>
      <c r="K59" s="3"/>
    </row>
    <row r="60" spans="1:11" x14ac:dyDescent="0.2">
      <c r="A60" s="34"/>
      <c r="B60" s="3"/>
      <c r="C60" s="35"/>
      <c r="D60" s="3"/>
      <c r="E60" s="38"/>
      <c r="F60" s="4"/>
      <c r="G60" s="5"/>
      <c r="H60" s="4"/>
      <c r="I60" s="5"/>
      <c r="J60" s="3"/>
      <c r="K60" s="3"/>
    </row>
    <row r="61" spans="1:11" x14ac:dyDescent="0.2">
      <c r="A61" s="34"/>
      <c r="B61" s="3"/>
      <c r="C61" s="35"/>
      <c r="D61" s="3"/>
      <c r="E61" s="38"/>
      <c r="F61" s="4"/>
      <c r="G61" s="5"/>
      <c r="H61" s="4"/>
      <c r="I61" s="37"/>
      <c r="J61" s="3"/>
      <c r="K61" s="3"/>
    </row>
    <row r="62" spans="1:11" x14ac:dyDescent="0.2">
      <c r="A62"/>
      <c r="B62" s="3"/>
      <c r="C62" s="35"/>
      <c r="D62"/>
      <c r="E62" s="38"/>
      <c r="F62" s="4"/>
      <c r="G62" s="5"/>
      <c r="H62" s="4"/>
      <c r="I62" s="5"/>
      <c r="J62" s="3"/>
      <c r="K62" s="3"/>
    </row>
    <row r="63" spans="1:11" x14ac:dyDescent="0.2">
      <c r="A63"/>
      <c r="B63" s="3"/>
      <c r="C63" s="35"/>
      <c r="D63"/>
      <c r="E63" s="38"/>
      <c r="F63" s="4"/>
      <c r="G63" s="5"/>
      <c r="H63" s="4"/>
      <c r="I63" s="5"/>
      <c r="J63" s="3"/>
      <c r="K63" s="3"/>
    </row>
    <row r="64" spans="1:11" x14ac:dyDescent="0.2">
      <c r="A64"/>
      <c r="B64" s="3"/>
      <c r="C64" s="35"/>
      <c r="D64"/>
      <c r="E64" s="38"/>
      <c r="F64" s="4"/>
      <c r="G64" s="5"/>
      <c r="H64" s="4"/>
      <c r="I64" s="5"/>
      <c r="J64" s="3"/>
      <c r="K64" s="3"/>
    </row>
    <row r="65" spans="1:11" x14ac:dyDescent="0.2">
      <c r="A65"/>
      <c r="B65" s="3"/>
      <c r="C65" s="35"/>
      <c r="D65"/>
      <c r="E65" s="38"/>
      <c r="F65" s="4"/>
      <c r="G65" s="5"/>
      <c r="H65" s="4"/>
      <c r="I65" s="5"/>
      <c r="J65" s="3"/>
      <c r="K65" s="3"/>
    </row>
    <row r="66" spans="1:11" x14ac:dyDescent="0.2">
      <c r="A66"/>
      <c r="B66" s="3"/>
      <c r="C66" s="35"/>
      <c r="D66"/>
      <c r="E66" s="38"/>
      <c r="F66" s="4"/>
      <c r="G66" s="5"/>
      <c r="H66" s="4"/>
      <c r="I66" s="5"/>
      <c r="J66" s="3"/>
      <c r="K66" s="3"/>
    </row>
    <row r="67" spans="1:11" x14ac:dyDescent="0.2">
      <c r="A67"/>
      <c r="B67" s="3"/>
      <c r="C67" s="35"/>
      <c r="D67"/>
      <c r="E67" s="38"/>
      <c r="F67" s="4"/>
      <c r="G67" s="5"/>
      <c r="H67" s="4"/>
      <c r="I67" s="5"/>
      <c r="J67" s="3"/>
      <c r="K67" s="3"/>
    </row>
    <row r="68" spans="1:11" x14ac:dyDescent="0.2">
      <c r="A68"/>
      <c r="B68" s="3"/>
      <c r="C68" s="35"/>
      <c r="D68"/>
      <c r="E68" s="38"/>
      <c r="F68" s="4"/>
      <c r="G68" s="5"/>
      <c r="H68" s="4"/>
      <c r="I68" s="5"/>
      <c r="J68" s="3"/>
      <c r="K68" s="3"/>
    </row>
    <row r="69" spans="1:11" x14ac:dyDescent="0.2">
      <c r="A69"/>
      <c r="B69" s="3"/>
      <c r="C69" s="35"/>
      <c r="D69"/>
      <c r="E69" s="38"/>
      <c r="F69" s="4"/>
      <c r="G69" s="5"/>
      <c r="H69" s="4"/>
      <c r="I69" s="5"/>
      <c r="J69" s="3"/>
      <c r="K69" s="3"/>
    </row>
    <row r="70" spans="1:11" x14ac:dyDescent="0.2">
      <c r="A70"/>
      <c r="B70" s="3"/>
      <c r="C70" s="35"/>
      <c r="D70"/>
      <c r="E70" s="38"/>
      <c r="F70" s="4"/>
      <c r="G70" s="5"/>
      <c r="H70" s="4"/>
      <c r="I70" s="5"/>
      <c r="J70" s="3"/>
      <c r="K70" s="3"/>
    </row>
    <row r="71" spans="1:11" x14ac:dyDescent="0.2">
      <c r="A71"/>
      <c r="B71" s="45"/>
      <c r="C71" s="35"/>
      <c r="D71"/>
      <c r="E71" s="46"/>
      <c r="F71" s="47"/>
      <c r="G71" s="48"/>
      <c r="H71" s="47"/>
      <c r="I71" s="48"/>
      <c r="J71" s="45"/>
      <c r="K71" s="45"/>
    </row>
    <row r="72" spans="1:11" x14ac:dyDescent="0.2">
      <c r="A72"/>
      <c r="B72" s="45"/>
      <c r="C72" s="3"/>
      <c r="D72"/>
      <c r="E72" s="46"/>
      <c r="F72" s="47"/>
      <c r="G72" s="48"/>
      <c r="H72" s="47"/>
      <c r="I72" s="48"/>
      <c r="J72" s="45"/>
      <c r="K72" s="45"/>
    </row>
    <row r="73" spans="1:11" x14ac:dyDescent="0.2">
      <c r="A73"/>
      <c r="B73" s="45"/>
      <c r="C73" s="3"/>
      <c r="D73"/>
      <c r="E73" s="46"/>
      <c r="F73" s="47"/>
      <c r="G73" s="48"/>
      <c r="H73" s="47"/>
      <c r="I73" s="48"/>
      <c r="J73" s="45"/>
      <c r="K73" s="45"/>
    </row>
    <row r="74" spans="1:11" x14ac:dyDescent="0.2">
      <c r="A74"/>
      <c r="B74" s="45"/>
      <c r="C74" s="3"/>
      <c r="D74"/>
      <c r="E74" s="46"/>
      <c r="F74" s="47"/>
      <c r="G74" s="48"/>
      <c r="H74" s="47"/>
      <c r="I74" s="48"/>
      <c r="J74" s="45"/>
      <c r="K74" s="45"/>
    </row>
    <row r="75" spans="1:11" x14ac:dyDescent="0.2">
      <c r="A75"/>
      <c r="B75" s="45"/>
      <c r="C75" s="3"/>
      <c r="D75"/>
      <c r="E75" s="46"/>
      <c r="F75" s="47"/>
      <c r="G75" s="48"/>
      <c r="H75" s="47"/>
      <c r="I75" s="48"/>
      <c r="J75" s="45"/>
      <c r="K75" s="45"/>
    </row>
    <row r="76" spans="1:11" x14ac:dyDescent="0.2">
      <c r="A76"/>
      <c r="B76" s="45"/>
      <c r="C76" s="3"/>
      <c r="D76"/>
      <c r="E76" s="46"/>
      <c r="F76" s="47"/>
      <c r="G76" s="48"/>
      <c r="H76" s="47"/>
      <c r="I76" s="48"/>
      <c r="J76" s="45"/>
      <c r="K76" s="45"/>
    </row>
    <row r="77" spans="1:11" x14ac:dyDescent="0.2">
      <c r="A77"/>
      <c r="B77" s="45"/>
      <c r="C77" s="3"/>
      <c r="D77"/>
      <c r="E77" s="46"/>
      <c r="F77" s="47"/>
      <c r="G77" s="48"/>
      <c r="H77" s="47"/>
      <c r="I77" s="48"/>
      <c r="J77" s="45"/>
      <c r="K77" s="45"/>
    </row>
    <row r="78" spans="1:11" x14ac:dyDescent="0.2">
      <c r="A78"/>
      <c r="B78" s="45"/>
      <c r="C78" s="3"/>
      <c r="D78"/>
      <c r="E78" s="46"/>
      <c r="F78" s="47"/>
      <c r="G78" s="48"/>
      <c r="H78" s="47"/>
      <c r="I78" s="48"/>
      <c r="J78" s="45"/>
      <c r="K78" s="45"/>
    </row>
    <row r="79" spans="1:11" x14ac:dyDescent="0.2">
      <c r="A79"/>
      <c r="B79" s="45"/>
      <c r="C79" s="3"/>
      <c r="D79"/>
      <c r="E79" s="46"/>
      <c r="F79" s="47"/>
      <c r="G79" s="48"/>
      <c r="H79" s="47"/>
      <c r="I79" s="48"/>
      <c r="J79" s="45"/>
      <c r="K79" s="45"/>
    </row>
    <row r="80" spans="1:11" x14ac:dyDescent="0.2">
      <c r="A80"/>
      <c r="B80" s="45"/>
      <c r="C80" s="3"/>
      <c r="D80"/>
      <c r="E80" s="46"/>
      <c r="F80" s="47"/>
      <c r="G80" s="48"/>
      <c r="H80" s="47"/>
      <c r="I80" s="48"/>
      <c r="J80" s="45"/>
      <c r="K80" s="45"/>
    </row>
    <row r="81" spans="1:11" x14ac:dyDescent="0.2">
      <c r="A81"/>
      <c r="B81" s="45"/>
      <c r="C81" s="3"/>
      <c r="D81"/>
      <c r="E81" s="46"/>
      <c r="F81" s="47"/>
      <c r="G81" s="48"/>
      <c r="H81" s="47"/>
      <c r="I81" s="48"/>
      <c r="J81" s="45"/>
      <c r="K81" s="45"/>
    </row>
    <row r="82" spans="1:11" x14ac:dyDescent="0.2">
      <c r="A82"/>
      <c r="B82" s="45"/>
      <c r="C82" s="3"/>
      <c r="D82"/>
      <c r="E82" s="46"/>
      <c r="F82" s="47"/>
      <c r="G82" s="48"/>
      <c r="H82" s="47"/>
      <c r="I82" s="48"/>
      <c r="J82" s="45"/>
      <c r="K82" s="45"/>
    </row>
    <row r="83" spans="1:11" x14ac:dyDescent="0.2">
      <c r="A83"/>
      <c r="B83" s="45"/>
      <c r="C83" s="3"/>
      <c r="D83"/>
      <c r="E83" s="46"/>
      <c r="F83" s="47"/>
      <c r="G83" s="48"/>
      <c r="H83" s="47"/>
      <c r="I83" s="48"/>
      <c r="J83" s="45"/>
      <c r="K83" s="45"/>
    </row>
    <row r="84" spans="1:11" x14ac:dyDescent="0.2">
      <c r="A84"/>
      <c r="B84" s="45"/>
      <c r="C84" s="3"/>
      <c r="D84"/>
      <c r="E84" s="46"/>
      <c r="F84" s="47"/>
      <c r="G84" s="48"/>
      <c r="H84" s="47"/>
      <c r="I84" s="48"/>
      <c r="J84" s="45"/>
      <c r="K84" s="45"/>
    </row>
    <row r="85" spans="1:11" x14ac:dyDescent="0.2">
      <c r="A85"/>
      <c r="B85" s="45"/>
      <c r="C85" s="3"/>
      <c r="D85"/>
      <c r="E85" s="46"/>
      <c r="F85" s="47"/>
      <c r="G85" s="48"/>
      <c r="H85" s="47"/>
      <c r="I85" s="48"/>
      <c r="J85" s="45"/>
      <c r="K85" s="45"/>
    </row>
    <row r="86" spans="1:11" x14ac:dyDescent="0.2">
      <c r="A86"/>
      <c r="B86" s="45"/>
      <c r="C86" s="3"/>
      <c r="D86"/>
      <c r="E86" s="46"/>
      <c r="F86" s="47"/>
      <c r="G86" s="48"/>
      <c r="H86" s="47"/>
      <c r="I86" s="48"/>
      <c r="J86" s="45"/>
      <c r="K86" s="45"/>
    </row>
    <row r="87" spans="1:11" x14ac:dyDescent="0.2">
      <c r="A87"/>
      <c r="B87" s="45"/>
      <c r="C87" s="3"/>
      <c r="D87"/>
      <c r="E87" s="46"/>
      <c r="F87" s="47"/>
      <c r="G87" s="48"/>
      <c r="H87" s="47"/>
      <c r="I87" s="48"/>
      <c r="J87" s="45"/>
      <c r="K87" s="45"/>
    </row>
    <row r="88" spans="1:11" x14ac:dyDescent="0.2">
      <c r="A88"/>
      <c r="B88" s="45"/>
      <c r="C88" s="3"/>
      <c r="D88"/>
      <c r="E88" s="46"/>
      <c r="F88" s="47"/>
      <c r="G88" s="48"/>
      <c r="H88" s="47"/>
      <c r="I88" s="48"/>
      <c r="J88" s="45"/>
      <c r="K88" s="45"/>
    </row>
    <row r="89" spans="1:11" x14ac:dyDescent="0.2">
      <c r="A89"/>
      <c r="B89" s="45"/>
      <c r="C89" s="3"/>
      <c r="D89"/>
      <c r="E89" s="46"/>
      <c r="F89" s="47"/>
      <c r="G89" s="48"/>
      <c r="H89" s="47"/>
      <c r="I89" s="48"/>
      <c r="J89" s="45"/>
      <c r="K89" s="45"/>
    </row>
    <row r="90" spans="1:11" x14ac:dyDescent="0.2">
      <c r="A90"/>
      <c r="B90" s="45"/>
      <c r="C90" s="3"/>
      <c r="D90"/>
      <c r="E90" s="46"/>
      <c r="F90" s="47"/>
      <c r="G90" s="48"/>
      <c r="H90" s="47"/>
      <c r="I90" s="48"/>
      <c r="J90" s="45"/>
      <c r="K90" s="45"/>
    </row>
    <row r="91" spans="1:11" x14ac:dyDescent="0.2">
      <c r="A91"/>
      <c r="B91" s="45"/>
      <c r="C91" s="3"/>
      <c r="D91"/>
      <c r="E91" s="46"/>
      <c r="F91" s="47"/>
      <c r="G91" s="48"/>
      <c r="H91" s="47"/>
      <c r="I91" s="48"/>
      <c r="J91" s="45"/>
      <c r="K91" s="45"/>
    </row>
    <row r="92" spans="1:11" x14ac:dyDescent="0.2">
      <c r="A92"/>
      <c r="B92" s="45"/>
      <c r="C92" s="3"/>
      <c r="D92"/>
      <c r="E92" s="46"/>
      <c r="F92" s="47"/>
      <c r="G92" s="48"/>
      <c r="H92" s="47"/>
      <c r="I92" s="48"/>
      <c r="J92" s="45"/>
      <c r="K92" s="45"/>
    </row>
    <row r="93" spans="1:11" x14ac:dyDescent="0.2">
      <c r="A93"/>
      <c r="B93" s="45"/>
      <c r="C93" s="3"/>
      <c r="D93"/>
      <c r="E93" s="46"/>
      <c r="F93" s="47"/>
      <c r="G93" s="48"/>
      <c r="H93" s="47"/>
      <c r="I93" s="48"/>
      <c r="J93" s="45"/>
      <c r="K93" s="45"/>
    </row>
    <row r="94" spans="1:11" x14ac:dyDescent="0.2">
      <c r="A94"/>
      <c r="B94" s="45"/>
      <c r="C94" s="3"/>
      <c r="D94"/>
      <c r="E94" s="46"/>
      <c r="F94" s="47"/>
      <c r="G94" s="48"/>
      <c r="H94" s="47"/>
      <c r="I94" s="48"/>
      <c r="J94" s="45"/>
      <c r="K94" s="45"/>
    </row>
    <row r="95" spans="1:11" x14ac:dyDescent="0.2">
      <c r="A95"/>
      <c r="B95" s="45"/>
      <c r="C95" s="3"/>
      <c r="D95"/>
      <c r="E95" s="46"/>
      <c r="F95" s="47"/>
      <c r="G95" s="48"/>
      <c r="H95" s="47"/>
      <c r="I95" s="48"/>
      <c r="J95" s="45"/>
      <c r="K95" s="45"/>
    </row>
    <row r="96" spans="1:11" x14ac:dyDescent="0.2">
      <c r="A96"/>
      <c r="B96" s="45"/>
      <c r="C96" s="3"/>
      <c r="D96"/>
      <c r="E96" s="46"/>
      <c r="F96" s="47"/>
      <c r="G96" s="48"/>
      <c r="H96" s="47"/>
      <c r="I96" s="48"/>
      <c r="J96" s="45"/>
      <c r="K96" s="45"/>
    </row>
    <row r="97" spans="1:11" x14ac:dyDescent="0.2">
      <c r="A97"/>
      <c r="B97" s="45"/>
      <c r="C97" s="3"/>
      <c r="D97"/>
      <c r="E97" s="46"/>
      <c r="F97" s="47"/>
      <c r="G97" s="48"/>
      <c r="H97" s="47"/>
      <c r="I97" s="48"/>
      <c r="J97" s="45"/>
      <c r="K97" s="45"/>
    </row>
    <row r="98" spans="1:11" x14ac:dyDescent="0.2">
      <c r="A98"/>
      <c r="B98" s="45"/>
      <c r="C98" s="3"/>
      <c r="D98"/>
      <c r="E98" s="46"/>
      <c r="F98" s="47"/>
      <c r="G98" s="48"/>
      <c r="H98" s="47"/>
      <c r="I98" s="48"/>
      <c r="J98" s="45"/>
      <c r="K98" s="45"/>
    </row>
    <row r="99" spans="1:11" x14ac:dyDescent="0.2">
      <c r="A99"/>
      <c r="B99" s="45"/>
      <c r="C99" s="3"/>
      <c r="D99"/>
      <c r="E99" s="46"/>
      <c r="F99" s="47"/>
      <c r="G99" s="48"/>
      <c r="H99" s="47"/>
      <c r="I99" s="48"/>
      <c r="J99" s="45"/>
      <c r="K99" s="45"/>
    </row>
    <row r="100" spans="1:11" x14ac:dyDescent="0.2">
      <c r="A100"/>
      <c r="B100" s="45"/>
      <c r="C100" s="3"/>
      <c r="D100"/>
      <c r="E100" s="46"/>
      <c r="F100" s="47"/>
      <c r="G100" s="48"/>
      <c r="H100" s="47"/>
      <c r="I100" s="48"/>
      <c r="J100" s="45"/>
      <c r="K100" s="45"/>
    </row>
    <row r="101" spans="1:11" x14ac:dyDescent="0.2">
      <c r="A101"/>
      <c r="B101" s="45"/>
      <c r="C101" s="3"/>
      <c r="D101"/>
      <c r="E101" s="46"/>
      <c r="F101" s="47"/>
      <c r="G101" s="48"/>
      <c r="H101" s="47"/>
      <c r="I101" s="48"/>
      <c r="J101" s="45"/>
      <c r="K101" s="45"/>
    </row>
    <row r="102" spans="1:11" x14ac:dyDescent="0.2">
      <c r="A102"/>
      <c r="B102" s="45"/>
      <c r="C102" s="3"/>
      <c r="D102"/>
      <c r="E102" s="46"/>
      <c r="F102" s="47"/>
      <c r="G102" s="48"/>
      <c r="H102" s="47"/>
      <c r="I102" s="48"/>
      <c r="J102" s="45"/>
      <c r="K102" s="45"/>
    </row>
    <row r="103" spans="1:11" x14ac:dyDescent="0.2">
      <c r="A103"/>
      <c r="B103" s="45"/>
      <c r="C103" s="3"/>
      <c r="D103"/>
      <c r="E103" s="46"/>
      <c r="F103" s="47"/>
      <c r="G103" s="48"/>
      <c r="H103" s="47"/>
      <c r="I103" s="48"/>
      <c r="J103" s="45"/>
      <c r="K103" s="45"/>
    </row>
    <row r="104" spans="1:11" x14ac:dyDescent="0.2">
      <c r="A104"/>
      <c r="B104" s="45"/>
      <c r="C104" s="3"/>
      <c r="D104"/>
      <c r="E104" s="46"/>
      <c r="F104" s="47"/>
      <c r="G104" s="48"/>
      <c r="H104" s="47"/>
      <c r="I104" s="48"/>
      <c r="J104" s="45"/>
      <c r="K104" s="45"/>
    </row>
    <row r="105" spans="1:11" x14ac:dyDescent="0.2">
      <c r="A105"/>
      <c r="B105" s="45"/>
      <c r="C105" s="3"/>
      <c r="D105"/>
      <c r="E105" s="46"/>
      <c r="F105" s="47"/>
      <c r="G105" s="48"/>
      <c r="H105" s="47"/>
      <c r="I105" s="48"/>
      <c r="J105" s="45"/>
      <c r="K105" s="45"/>
    </row>
    <row r="106" spans="1:11" x14ac:dyDescent="0.2">
      <c r="A106"/>
      <c r="B106" s="45"/>
      <c r="C106" s="3"/>
      <c r="D106"/>
      <c r="E106" s="46"/>
      <c r="F106" s="47"/>
      <c r="G106" s="48"/>
      <c r="H106" s="47"/>
      <c r="I106" s="48"/>
      <c r="J106" s="45"/>
      <c r="K106" s="45"/>
    </row>
    <row r="107" spans="1:11" x14ac:dyDescent="0.2">
      <c r="A107"/>
      <c r="B107" s="45"/>
      <c r="C107" s="3"/>
      <c r="D107"/>
      <c r="E107" s="46"/>
      <c r="F107" s="47"/>
      <c r="G107" s="48"/>
      <c r="H107" s="47"/>
      <c r="I107" s="48"/>
      <c r="J107" s="45"/>
      <c r="K107" s="45"/>
    </row>
    <row r="108" spans="1:11" x14ac:dyDescent="0.2">
      <c r="A108"/>
      <c r="B108" s="45"/>
      <c r="C108" s="3"/>
      <c r="D108"/>
      <c r="E108" s="46"/>
      <c r="F108" s="47"/>
      <c r="G108" s="48"/>
      <c r="H108" s="47"/>
      <c r="I108" s="48"/>
      <c r="J108" s="45"/>
      <c r="K108" s="45"/>
    </row>
    <row r="109" spans="1:11" x14ac:dyDescent="0.2">
      <c r="A109"/>
      <c r="B109" s="45"/>
      <c r="C109" s="3"/>
      <c r="D109"/>
      <c r="E109" s="46"/>
      <c r="F109" s="47"/>
      <c r="G109" s="48"/>
      <c r="H109" s="47"/>
      <c r="I109" s="48"/>
      <c r="J109" s="45"/>
      <c r="K109" s="45"/>
    </row>
    <row r="110" spans="1:11" x14ac:dyDescent="0.2">
      <c r="A110"/>
      <c r="B110" s="45"/>
      <c r="C110" s="3"/>
      <c r="D110"/>
      <c r="E110" s="46"/>
      <c r="F110" s="47"/>
      <c r="G110" s="48"/>
      <c r="H110" s="47"/>
      <c r="I110" s="48"/>
      <c r="J110" s="45"/>
      <c r="K110" s="45"/>
    </row>
    <row r="111" spans="1:11" x14ac:dyDescent="0.2">
      <c r="A111"/>
      <c r="B111" s="45"/>
      <c r="C111" s="3"/>
      <c r="D111"/>
      <c r="E111" s="46"/>
      <c r="F111" s="47"/>
      <c r="G111" s="48"/>
      <c r="H111" s="47"/>
      <c r="I111" s="48"/>
      <c r="J111" s="45"/>
      <c r="K111" s="45"/>
    </row>
    <row r="112" spans="1:11" x14ac:dyDescent="0.2">
      <c r="A112"/>
      <c r="B112" s="45"/>
      <c r="C112" s="3"/>
      <c r="D112"/>
      <c r="E112" s="46"/>
      <c r="F112" s="47"/>
      <c r="G112" s="48"/>
      <c r="H112" s="47"/>
      <c r="I112" s="48"/>
      <c r="J112" s="45"/>
      <c r="K112" s="45"/>
    </row>
  </sheetData>
  <mergeCells count="1">
    <mergeCell ref="A3:K3"/>
  </mergeCells>
  <conditionalFormatting sqref="H41:H70">
    <cfRule type="expression" dxfId="94" priority="32" stopIfTrue="1">
      <formula>(H41-TODAY())&gt;=days_until_next_1</formula>
    </cfRule>
    <cfRule type="expression" dxfId="93" priority="33" stopIfTrue="1">
      <formula>(H41-TODAY())&gt;=days_until_next_2</formula>
    </cfRule>
    <cfRule type="expression" dxfId="92" priority="34" stopIfTrue="1">
      <formula>NOT(ISBLANK(H41))</formula>
    </cfRule>
  </conditionalFormatting>
  <conditionalFormatting sqref="H5:H40 F5:F112">
    <cfRule type="expression" dxfId="91" priority="35" stopIfTrue="1">
      <formula>AND(NOT(ISBLANK(F5)),(TODAY()-F5)&lt;=days_since_last_1)</formula>
    </cfRule>
    <cfRule type="expression" dxfId="90" priority="36" stopIfTrue="1">
      <formula>(TODAY()-F5)&lt;=days_since_last_2</formula>
    </cfRule>
    <cfRule type="expression" dxfId="89" priority="37" stopIfTrue="1">
      <formula>NOT(ISBLANK(F5))</formula>
    </cfRule>
  </conditionalFormatting>
  <conditionalFormatting sqref="B22:B70 K5:K25 D22:I25 D26:K70 C22:C112 B5:I21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1">
    <cfRule type="expression" dxfId="88" priority="22" stopIfTrue="1">
      <formula>AND(NOT(ISBLANK(G41)),(TODAY()-G41)&lt;=days_since_last_1)</formula>
    </cfRule>
    <cfRule type="expression" dxfId="87" priority="23" stopIfTrue="1">
      <formula>(TODAY()-G41)&lt;=days_since_last_2</formula>
    </cfRule>
    <cfRule type="expression" dxfId="86" priority="24" stopIfTrue="1">
      <formula>NOT(ISBLANK(G41))</formula>
    </cfRule>
  </conditionalFormatting>
  <conditionalFormatting sqref="H41:H43">
    <cfRule type="expression" dxfId="85" priority="19" stopIfTrue="1">
      <formula>AND(NOT(ISBLANK(H41)),(TODAY()-H41)&lt;=days_since_last_1)</formula>
    </cfRule>
    <cfRule type="expression" dxfId="84" priority="20" stopIfTrue="1">
      <formula>(TODAY()-H41)&lt;=days_since_last_2</formula>
    </cfRule>
    <cfRule type="expression" dxfId="83" priority="21" stopIfTrue="1">
      <formula>NOT(ISBLANK(H41))</formula>
    </cfRule>
  </conditionalFormatting>
  <conditionalFormatting sqref="G43">
    <cfRule type="expression" dxfId="82" priority="16" stopIfTrue="1">
      <formula>AND(NOT(ISBLANK(G43)),(TODAY()-G43)&lt;=days_since_last_1)</formula>
    </cfRule>
    <cfRule type="expression" dxfId="81" priority="17" stopIfTrue="1">
      <formula>(TODAY()-G43)&lt;=days_since_last_2</formula>
    </cfRule>
    <cfRule type="expression" dxfId="80" priority="18" stopIfTrue="1">
      <formula>NOT(ISBLANK(G43))</formula>
    </cfRule>
  </conditionalFormatting>
  <conditionalFormatting sqref="G15">
    <cfRule type="expression" dxfId="79" priority="13" stopIfTrue="1">
      <formula>AND(NOT(ISBLANK(G15)),(TODAY()-G15)&lt;=days_since_last_1)</formula>
    </cfRule>
    <cfRule type="expression" dxfId="78" priority="14" stopIfTrue="1">
      <formula>(TODAY()-G15)&lt;=days_since_last_2</formula>
    </cfRule>
    <cfRule type="expression" dxfId="77" priority="15" stopIfTrue="1">
      <formula>NOT(ISBLANK(G15))</formula>
    </cfRule>
  </conditionalFormatting>
  <conditionalFormatting sqref="G39">
    <cfRule type="expression" dxfId="76" priority="10" stopIfTrue="1">
      <formula>AND(NOT(ISBLANK(G39)),(TODAY()-G39)&lt;=days_since_last_1)</formula>
    </cfRule>
    <cfRule type="expression" dxfId="75" priority="11" stopIfTrue="1">
      <formula>(TODAY()-G39)&lt;=days_since_last_2</formula>
    </cfRule>
    <cfRule type="expression" dxfId="74" priority="12" stopIfTrue="1">
      <formula>NOT(ISBLANK(G39))</formula>
    </cfRule>
  </conditionalFormatting>
  <conditionalFormatting sqref="G41">
    <cfRule type="expression" dxfId="73" priority="7" stopIfTrue="1">
      <formula>(G41-TODAY())&gt;=days_until_next_1</formula>
    </cfRule>
    <cfRule type="expression" dxfId="72" priority="8" stopIfTrue="1">
      <formula>(G41-TODAY())&gt;=days_until_next_2</formula>
    </cfRule>
    <cfRule type="expression" dxfId="71" priority="9" stopIfTrue="1">
      <formula>NOT(ISBLANK(G41))</formula>
    </cfRule>
  </conditionalFormatting>
  <conditionalFormatting sqref="G41">
    <cfRule type="expression" dxfId="70" priority="4" stopIfTrue="1">
      <formula>AND(NOT(ISBLANK(G41)),(TODAY()-G41)&lt;=days_since_last_1)</formula>
    </cfRule>
    <cfRule type="expression" dxfId="69" priority="5" stopIfTrue="1">
      <formula>(TODAY()-G41)&lt;=days_since_last_2</formula>
    </cfRule>
    <cfRule type="expression" dxfId="68" priority="6" stopIfTrue="1">
      <formula>NOT(ISBLANK(G41))</formula>
    </cfRule>
  </conditionalFormatting>
  <conditionalFormatting sqref="F47">
    <cfRule type="expression" dxfId="67" priority="1" stopIfTrue="1">
      <formula>(F47-TODAY())&gt;=days_until_next_1</formula>
    </cfRule>
    <cfRule type="expression" dxfId="66" priority="2" stopIfTrue="1">
      <formula>(F47-TODAY())&gt;=days_until_next_2</formula>
    </cfRule>
    <cfRule type="expression" dxfId="65" priority="3" stopIfTrue="1">
      <formula>NOT(ISBLANK(F47))</formula>
    </cfRule>
  </conditionalFormatting>
  <dataValidations count="4">
    <dataValidation allowBlank="1" promptTitle="Choose Column Headings" prompt="When this cell is selected, a 2nd down arrow should appear to the right.  Click on this arrow to customize the heading or simply type in your own heading." sqref="A4:K4 M6 M18 M34"/>
    <dataValidation type="list" allowBlank="1" showInputMessage="1" showErrorMessage="1" sqref="J26:J70">
      <formula1>lead_source</formula1>
    </dataValidation>
    <dataValidation type="list" allowBlank="1" sqref="A5:A20">
      <formula1>#REF!</formula1>
    </dataValidation>
    <dataValidation type="list" allowBlank="1" showInputMessage="1" showErrorMessage="1" sqref="I5:I112">
      <formula1>lead_status</formula1>
    </dataValidation>
  </dataValidations>
  <printOptions horizontalCentered="1"/>
  <pageMargins left="0.5" right="0.5" top="0.5" bottom="0.5" header="0.25" footer="0.25"/>
  <pageSetup scale="56" fitToHeight="0" orientation="landscape" r:id="rId1"/>
  <headerFooter scaleWithDoc="0">
    <oddHeader>&amp;R&amp;8Page &amp;P of &amp;N</oddHeader>
    <oddFooter>&amp;R&amp;8Page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9" operator="equal" id="{62E98144-93B1-4F27-89EF-530F8550E2AF}">
            <xm:f>تنظیمات!$A$8</xm:f>
            <x14:dxf>
              <fill>
                <patternFill>
                  <bgColor rgb="FFFF9999"/>
                </patternFill>
              </fill>
            </x14:dxf>
          </x14:cfRule>
          <x14:cfRule type="cellIs" priority="30" operator="equal" id="{0D617873-9845-4DBB-BE96-C7FBFC2D82AE}">
            <xm:f>تنظیمات!$A$7</xm:f>
            <x14:dxf>
              <fill>
                <patternFill>
                  <bgColor rgb="FFFFCC99"/>
                </patternFill>
              </fill>
            </x14:dxf>
          </x14:cfRule>
          <x14:cfRule type="cellIs" priority="31" operator="equal" id="{41E4842E-4AB5-4C05-8F89-33CEC9ADC794}">
            <xm:f>تنظیمات!$A$6</xm:f>
            <x14:dxf>
              <fill>
                <patternFill>
                  <bgColor rgb="FF66CCFF"/>
                </patternFill>
              </fill>
            </x14:dxf>
          </x14:cfRule>
          <xm:sqref>I5:I112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N111"/>
  <sheetViews>
    <sheetView showGridLines="0" showRowColHeaders="0" zoomScaleNormal="100" zoomScaleSheetLayoutView="85" workbookViewId="0">
      <pane ySplit="4" topLeftCell="A5" activePane="bottomLeft" state="frozen"/>
      <selection pane="bottomLeft" activeCell="A18" sqref="A18:K18"/>
    </sheetView>
  </sheetViews>
  <sheetFormatPr defaultColWidth="9.140625" defaultRowHeight="12.75" x14ac:dyDescent="0.2"/>
  <cols>
    <col min="1" max="1" width="16" style="8" customWidth="1"/>
    <col min="2" max="2" width="9.7109375" style="1" customWidth="1"/>
    <col min="3" max="3" width="16.5703125" style="8" customWidth="1"/>
    <col min="4" max="4" width="12.7109375" style="8" customWidth="1"/>
    <col min="5" max="5" width="13.28515625" style="9" customWidth="1"/>
    <col min="6" max="6" width="11.140625" style="1" customWidth="1"/>
    <col min="7" max="7" width="11.42578125" style="1" customWidth="1"/>
    <col min="8" max="8" width="10.7109375" style="1" customWidth="1"/>
    <col min="9" max="9" width="19.5703125" style="1" customWidth="1"/>
    <col min="10" max="10" width="16.5703125" style="1" customWidth="1"/>
    <col min="11" max="11" width="92.5703125" style="1" customWidth="1"/>
    <col min="12" max="12" width="6.42578125" style="1" customWidth="1"/>
    <col min="13" max="13" width="24.85546875" style="1" customWidth="1"/>
    <col min="14" max="14" width="19.140625" style="1" customWidth="1"/>
    <col min="15" max="16384" width="9.140625" style="1"/>
  </cols>
  <sheetData>
    <row r="1" spans="1:14" x14ac:dyDescent="0.2">
      <c r="A1" s="33" t="s">
        <v>1</v>
      </c>
      <c r="D1" s="8" t="s">
        <v>0</v>
      </c>
    </row>
    <row r="2" spans="1:14" x14ac:dyDescent="0.2">
      <c r="A2" s="8" t="s">
        <v>31</v>
      </c>
      <c r="M2" s="12"/>
    </row>
    <row r="3" spans="1:14" ht="28.5" customHeight="1" x14ac:dyDescent="0.2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N3" s="2"/>
    </row>
    <row r="4" spans="1:14" ht="25.5" x14ac:dyDescent="0.2">
      <c r="A4" s="13" t="s">
        <v>2</v>
      </c>
      <c r="B4" s="13" t="s">
        <v>3</v>
      </c>
      <c r="C4" s="13" t="s">
        <v>12</v>
      </c>
      <c r="D4" s="13" t="s">
        <v>4</v>
      </c>
      <c r="E4" s="39" t="s">
        <v>11</v>
      </c>
      <c r="F4" s="13" t="s">
        <v>10</v>
      </c>
      <c r="G4" s="13" t="s">
        <v>9</v>
      </c>
      <c r="H4" s="13" t="s">
        <v>8</v>
      </c>
      <c r="I4" s="13" t="s">
        <v>7</v>
      </c>
      <c r="J4" s="13" t="s">
        <v>6</v>
      </c>
      <c r="K4" s="13" t="s">
        <v>5</v>
      </c>
    </row>
    <row r="5" spans="1:14" s="7" customFormat="1" x14ac:dyDescent="0.2">
      <c r="A5" s="34" t="s">
        <v>37</v>
      </c>
      <c r="B5" s="3" t="str">
        <f>IFERROR(VLOOKUP($A5,#REF!,2,FALSE),"-")</f>
        <v>-</v>
      </c>
      <c r="C5" s="34" t="s">
        <v>70</v>
      </c>
      <c r="D5" s="34">
        <v>9125314869</v>
      </c>
      <c r="E5" s="38" t="s">
        <v>81</v>
      </c>
      <c r="F5" s="40" t="s">
        <v>76</v>
      </c>
      <c r="G5" s="5"/>
      <c r="H5" s="4" t="s">
        <v>77</v>
      </c>
      <c r="I5" s="6" t="s">
        <v>22</v>
      </c>
      <c r="J5" s="17" t="s">
        <v>33</v>
      </c>
      <c r="K5" s="3" t="s">
        <v>96</v>
      </c>
    </row>
    <row r="6" spans="1:14" s="7" customFormat="1" ht="13.5" customHeight="1" x14ac:dyDescent="0.2">
      <c r="A6" s="35" t="s">
        <v>38</v>
      </c>
      <c r="B6" s="3" t="str">
        <f>IFERROR(VLOOKUP($A6,#REF!,2,FALSE),"-")</f>
        <v>-</v>
      </c>
      <c r="C6" s="35" t="s">
        <v>71</v>
      </c>
      <c r="D6" s="35">
        <v>9127319939</v>
      </c>
      <c r="E6" s="38" t="s">
        <v>80</v>
      </c>
      <c r="F6" s="41" t="s">
        <v>85</v>
      </c>
      <c r="G6" s="5"/>
      <c r="H6" s="4" t="s">
        <v>86</v>
      </c>
      <c r="I6" s="36" t="s">
        <v>22</v>
      </c>
      <c r="J6" s="17" t="s">
        <v>33</v>
      </c>
      <c r="K6" s="3" t="s">
        <v>92</v>
      </c>
      <c r="M6" s="30" t="s">
        <v>13</v>
      </c>
    </row>
    <row r="7" spans="1:14" s="7" customFormat="1" ht="13.5" customHeight="1" x14ac:dyDescent="0.2">
      <c r="A7" s="34" t="s">
        <v>39</v>
      </c>
      <c r="B7" s="3" t="str">
        <f>IFERROR(VLOOKUP($A7,#REF!,2,FALSE),"-")</f>
        <v>-</v>
      </c>
      <c r="C7" s="34" t="s">
        <v>70</v>
      </c>
      <c r="D7" s="34">
        <v>9196673787</v>
      </c>
      <c r="E7" s="38" t="s">
        <v>81</v>
      </c>
      <c r="F7" s="4" t="s">
        <v>76</v>
      </c>
      <c r="G7" s="5"/>
      <c r="H7" s="4" t="s">
        <v>87</v>
      </c>
      <c r="I7" s="37" t="s">
        <v>24</v>
      </c>
      <c r="J7" s="17" t="s">
        <v>33</v>
      </c>
      <c r="K7" s="3" t="s">
        <v>96</v>
      </c>
      <c r="M7" s="18"/>
    </row>
    <row r="8" spans="1:14" s="7" customFormat="1" x14ac:dyDescent="0.2">
      <c r="A8" s="35" t="s">
        <v>40</v>
      </c>
      <c r="B8" s="3" t="str">
        <f>IFERROR(VLOOKUP($A8,#REF!,2,FALSE),"-")</f>
        <v>-</v>
      </c>
      <c r="C8" s="35" t="s">
        <v>71</v>
      </c>
      <c r="D8" s="35">
        <v>9127315805</v>
      </c>
      <c r="E8" s="38" t="s">
        <v>78</v>
      </c>
      <c r="F8" s="4" t="s">
        <v>86</v>
      </c>
      <c r="G8" s="5"/>
      <c r="H8" s="4" t="s">
        <v>78</v>
      </c>
      <c r="I8" s="44" t="s">
        <v>25</v>
      </c>
      <c r="J8" s="17" t="s">
        <v>33</v>
      </c>
      <c r="K8" s="3" t="s">
        <v>91</v>
      </c>
      <c r="M8" s="23" t="s">
        <v>15</v>
      </c>
    </row>
    <row r="9" spans="1:14" s="7" customFormat="1" x14ac:dyDescent="0.2">
      <c r="A9" s="34" t="s">
        <v>41</v>
      </c>
      <c r="B9" s="3" t="str">
        <f>IFERROR(VLOOKUP($A9,#REF!,2,FALSE),"-")</f>
        <v>-</v>
      </c>
      <c r="C9" s="34" t="s">
        <v>70</v>
      </c>
      <c r="D9" s="34">
        <v>9125327179</v>
      </c>
      <c r="E9" s="38" t="s">
        <v>78</v>
      </c>
      <c r="F9" s="4" t="s">
        <v>105</v>
      </c>
      <c r="G9" s="5"/>
      <c r="H9" s="4" t="s">
        <v>89</v>
      </c>
      <c r="I9" s="43" t="s">
        <v>21</v>
      </c>
      <c r="J9" s="17" t="s">
        <v>33</v>
      </c>
      <c r="K9" s="3" t="s">
        <v>111</v>
      </c>
      <c r="M9" s="24">
        <v>2</v>
      </c>
    </row>
    <row r="10" spans="1:14" s="7" customFormat="1" x14ac:dyDescent="0.2">
      <c r="A10" s="35" t="s">
        <v>42</v>
      </c>
      <c r="B10" s="3" t="str">
        <f>IFERROR(VLOOKUP($A10,#REF!,2,FALSE),"-")</f>
        <v>-</v>
      </c>
      <c r="C10" s="35" t="s">
        <v>70</v>
      </c>
      <c r="D10" s="35">
        <v>9125318196</v>
      </c>
      <c r="E10" s="38" t="s">
        <v>82</v>
      </c>
      <c r="F10" s="4" t="s">
        <v>85</v>
      </c>
      <c r="G10" s="5"/>
      <c r="H10" s="4" t="s">
        <v>88</v>
      </c>
      <c r="I10" s="36" t="s">
        <v>22</v>
      </c>
      <c r="J10" s="17" t="s">
        <v>33</v>
      </c>
      <c r="K10" s="3" t="s">
        <v>118</v>
      </c>
      <c r="M10" s="26">
        <v>5</v>
      </c>
    </row>
    <row r="11" spans="1:14" s="7" customFormat="1" x14ac:dyDescent="0.2">
      <c r="A11" s="34" t="s">
        <v>43</v>
      </c>
      <c r="B11" s="3" t="str">
        <f>IFERROR(VLOOKUP($A11,#REF!,2,FALSE),"-")</f>
        <v>-</v>
      </c>
      <c r="C11" s="34" t="s">
        <v>71</v>
      </c>
      <c r="D11" s="34">
        <v>9121319768</v>
      </c>
      <c r="E11" s="38" t="s">
        <v>80</v>
      </c>
      <c r="F11" s="4" t="s">
        <v>76</v>
      </c>
      <c r="G11" s="5"/>
      <c r="H11" s="4" t="s">
        <v>90</v>
      </c>
      <c r="I11" s="36" t="s">
        <v>24</v>
      </c>
      <c r="J11" s="17" t="s">
        <v>33</v>
      </c>
      <c r="K11" s="3" t="s">
        <v>122</v>
      </c>
      <c r="M11" s="27" t="str">
        <f>"&gt; "&amp;days_since_last_2</f>
        <v>&gt; 6</v>
      </c>
    </row>
    <row r="12" spans="1:14" s="7" customFormat="1" x14ac:dyDescent="0.2">
      <c r="A12" s="35" t="s">
        <v>44</v>
      </c>
      <c r="B12" s="3" t="str">
        <f>IFERROR(VLOOKUP($A12,#REF!,2,FALSE),"-")</f>
        <v>-</v>
      </c>
      <c r="C12" s="35" t="s">
        <v>71</v>
      </c>
      <c r="D12" s="35">
        <v>9121313117</v>
      </c>
      <c r="E12" s="38" t="s">
        <v>80</v>
      </c>
      <c r="F12" s="4" t="s">
        <v>104</v>
      </c>
      <c r="G12" s="5"/>
      <c r="H12" s="4" t="s">
        <v>102</v>
      </c>
      <c r="I12" s="37" t="s">
        <v>24</v>
      </c>
      <c r="J12" s="17" t="s">
        <v>33</v>
      </c>
      <c r="K12" s="3" t="s">
        <v>118</v>
      </c>
      <c r="M12" s="14"/>
    </row>
    <row r="13" spans="1:14" s="7" customFormat="1" x14ac:dyDescent="0.2">
      <c r="A13" s="34" t="s">
        <v>45</v>
      </c>
      <c r="B13" s="3" t="str">
        <f>IFERROR(VLOOKUP($A13,#REF!,2,FALSE),"-")</f>
        <v>-</v>
      </c>
      <c r="C13" s="34" t="s">
        <v>70</v>
      </c>
      <c r="D13" s="34">
        <v>9190596245</v>
      </c>
      <c r="E13" s="38" t="s">
        <v>81</v>
      </c>
      <c r="F13" s="4" t="s">
        <v>104</v>
      </c>
      <c r="G13" s="5"/>
      <c r="H13" s="4" t="s">
        <v>88</v>
      </c>
      <c r="I13" s="36" t="s">
        <v>24</v>
      </c>
      <c r="J13" s="17" t="s">
        <v>33</v>
      </c>
      <c r="K13" s="3" t="s">
        <v>96</v>
      </c>
      <c r="M13" s="23" t="s">
        <v>14</v>
      </c>
    </row>
    <row r="14" spans="1:14" s="7" customFormat="1" x14ac:dyDescent="0.2">
      <c r="A14" s="35" t="s">
        <v>46</v>
      </c>
      <c r="B14" s="3" t="str">
        <f>IFERROR(VLOOKUP($A14,#REF!,2,FALSE),"-")</f>
        <v>-</v>
      </c>
      <c r="C14" s="35" t="s">
        <v>70</v>
      </c>
      <c r="D14" s="35">
        <v>9151701517</v>
      </c>
      <c r="E14" s="38" t="s">
        <v>82</v>
      </c>
      <c r="F14" s="4" t="s">
        <v>86</v>
      </c>
      <c r="G14" s="4" t="s">
        <v>99</v>
      </c>
      <c r="H14" s="4" t="s">
        <v>88</v>
      </c>
      <c r="I14" s="5" t="s">
        <v>24</v>
      </c>
      <c r="J14" s="17" t="s">
        <v>33</v>
      </c>
      <c r="K14" s="3" t="s">
        <v>116</v>
      </c>
      <c r="M14" s="24">
        <v>10</v>
      </c>
    </row>
    <row r="15" spans="1:14" s="7" customFormat="1" x14ac:dyDescent="0.2">
      <c r="A15" s="34" t="s">
        <v>47</v>
      </c>
      <c r="B15" s="3" t="str">
        <f>IFERROR(VLOOKUP($A15,#REF!,2,FALSE),"-")</f>
        <v>-</v>
      </c>
      <c r="C15" s="34" t="s">
        <v>70</v>
      </c>
      <c r="D15" s="34">
        <v>9125320124</v>
      </c>
      <c r="E15" s="38" t="s">
        <v>84</v>
      </c>
      <c r="F15" s="4" t="s">
        <v>78</v>
      </c>
      <c r="G15" s="5"/>
      <c r="H15" s="4" t="s">
        <v>78</v>
      </c>
      <c r="I15" s="5" t="s">
        <v>24</v>
      </c>
      <c r="J15" s="17" t="s">
        <v>33</v>
      </c>
      <c r="K15" s="3" t="s">
        <v>121</v>
      </c>
      <c r="M15" s="26">
        <v>5</v>
      </c>
    </row>
    <row r="16" spans="1:14" s="7" customFormat="1" x14ac:dyDescent="0.2">
      <c r="A16" s="35" t="s">
        <v>48</v>
      </c>
      <c r="B16" s="3" t="str">
        <f>IFERROR(VLOOKUP($A16,#REF!,2,FALSE),"-")</f>
        <v>-</v>
      </c>
      <c r="C16" s="35" t="s">
        <v>72</v>
      </c>
      <c r="D16" s="35">
        <v>9121316687</v>
      </c>
      <c r="E16" s="38" t="s">
        <v>78</v>
      </c>
      <c r="F16" s="4" t="s">
        <v>104</v>
      </c>
      <c r="G16" s="5"/>
      <c r="H16" s="4" t="s">
        <v>78</v>
      </c>
      <c r="I16" s="43" t="s">
        <v>21</v>
      </c>
      <c r="J16" s="17" t="s">
        <v>33</v>
      </c>
      <c r="K16" s="3" t="s">
        <v>124</v>
      </c>
      <c r="M16" s="27" t="str">
        <f>"&lt; "&amp;days_until_next_2</f>
        <v>&lt; 4</v>
      </c>
    </row>
    <row r="17" spans="1:13" s="7" customFormat="1" x14ac:dyDescent="0.2">
      <c r="A17" s="34" t="s">
        <v>49</v>
      </c>
      <c r="B17" s="3" t="str">
        <f>IFERROR(VLOOKUP($A17,#REF!,2,FALSE),"-")</f>
        <v>-</v>
      </c>
      <c r="C17" s="34" t="s">
        <v>72</v>
      </c>
      <c r="D17" s="34">
        <v>9122311660</v>
      </c>
      <c r="E17" s="38" t="s">
        <v>78</v>
      </c>
      <c r="F17" s="4" t="s">
        <v>85</v>
      </c>
      <c r="G17" s="5"/>
      <c r="H17" s="4" t="s">
        <v>78</v>
      </c>
      <c r="I17" s="43" t="s">
        <v>21</v>
      </c>
      <c r="J17" s="17" t="s">
        <v>33</v>
      </c>
      <c r="K17" s="3" t="s">
        <v>124</v>
      </c>
    </row>
    <row r="18" spans="1:13" s="7" customFormat="1" x14ac:dyDescent="0.2">
      <c r="A18" s="35" t="s">
        <v>50</v>
      </c>
      <c r="B18" s="3" t="str">
        <f>IFERROR(VLOOKUP($A18,#REF!,2,FALSE),"-")</f>
        <v>-</v>
      </c>
      <c r="C18" s="35" t="s">
        <v>73</v>
      </c>
      <c r="D18" s="35">
        <v>9122311341</v>
      </c>
      <c r="E18" s="38" t="s">
        <v>82</v>
      </c>
      <c r="F18" s="4" t="s">
        <v>85</v>
      </c>
      <c r="G18" s="5"/>
      <c r="H18" s="4" t="s">
        <v>99</v>
      </c>
      <c r="I18" s="37" t="s">
        <v>24</v>
      </c>
      <c r="J18" s="17" t="s">
        <v>33</v>
      </c>
      <c r="K18" s="3" t="s">
        <v>123</v>
      </c>
      <c r="M18" s="29" t="s">
        <v>6</v>
      </c>
    </row>
    <row r="19" spans="1:13" s="7" customFormat="1" x14ac:dyDescent="0.2">
      <c r="A19" s="34" t="s">
        <v>51</v>
      </c>
      <c r="B19" s="3" t="str">
        <f>IFERROR(VLOOKUP($A19,#REF!,2,FALSE),"-")</f>
        <v>-</v>
      </c>
      <c r="C19" s="34" t="s">
        <v>70</v>
      </c>
      <c r="D19" s="34"/>
      <c r="E19" s="38" t="s">
        <v>78</v>
      </c>
      <c r="F19" s="4"/>
      <c r="G19" s="5"/>
      <c r="H19" s="4" t="s">
        <v>78</v>
      </c>
      <c r="I19" s="42" t="s">
        <v>26</v>
      </c>
      <c r="J19" s="17" t="s">
        <v>33</v>
      </c>
      <c r="K19" s="3"/>
      <c r="M19" s="17"/>
    </row>
    <row r="20" spans="1:13" x14ac:dyDescent="0.2">
      <c r="A20" s="35" t="s">
        <v>52</v>
      </c>
      <c r="B20" s="3" t="str">
        <f>IFERROR(VLOOKUP($A20,#REF!,2,FALSE),"-")</f>
        <v>-</v>
      </c>
      <c r="C20" s="35" t="s">
        <v>71</v>
      </c>
      <c r="D20" s="35"/>
      <c r="E20" s="38" t="s">
        <v>78</v>
      </c>
      <c r="F20" s="4"/>
      <c r="G20" s="5"/>
      <c r="H20" s="4" t="s">
        <v>78</v>
      </c>
      <c r="I20" s="42" t="s">
        <v>26</v>
      </c>
      <c r="J20" s="17" t="s">
        <v>33</v>
      </c>
      <c r="K20" s="3"/>
      <c r="M20" s="17" t="s">
        <v>32</v>
      </c>
    </row>
    <row r="21" spans="1:13" x14ac:dyDescent="0.2">
      <c r="A21" s="34" t="s">
        <v>53</v>
      </c>
      <c r="B21" s="3" t="str">
        <f>IFERROR(VLOOKUP($A21,#REF!,2,FALSE),"-")</f>
        <v>-</v>
      </c>
      <c r="C21" s="34" t="s">
        <v>70</v>
      </c>
      <c r="D21" s="34">
        <v>9121319912</v>
      </c>
      <c r="E21" s="38" t="s">
        <v>82</v>
      </c>
      <c r="F21" s="4" t="s">
        <v>85</v>
      </c>
      <c r="G21" s="5"/>
      <c r="H21" s="4" t="s">
        <v>88</v>
      </c>
      <c r="I21" s="36" t="s">
        <v>22</v>
      </c>
      <c r="J21" s="17" t="s">
        <v>34</v>
      </c>
      <c r="K21" s="3" t="s">
        <v>96</v>
      </c>
      <c r="M21" s="17" t="s">
        <v>33</v>
      </c>
    </row>
    <row r="22" spans="1:13" x14ac:dyDescent="0.2">
      <c r="A22" s="35" t="s">
        <v>54</v>
      </c>
      <c r="B22" s="3" t="str">
        <f>IFERROR(VLOOKUP($A22,#REF!,2,FALSE),"-")</f>
        <v>-</v>
      </c>
      <c r="C22" s="35" t="s">
        <v>70</v>
      </c>
      <c r="D22" s="35">
        <v>9121318796</v>
      </c>
      <c r="E22" s="38" t="s">
        <v>81</v>
      </c>
      <c r="F22" s="4" t="s">
        <v>77</v>
      </c>
      <c r="G22" s="5"/>
      <c r="H22" s="4" t="s">
        <v>99</v>
      </c>
      <c r="I22" s="36" t="s">
        <v>24</v>
      </c>
      <c r="J22" s="17" t="s">
        <v>34</v>
      </c>
      <c r="K22" s="3" t="s">
        <v>121</v>
      </c>
      <c r="M22" s="17" t="s">
        <v>34</v>
      </c>
    </row>
    <row r="23" spans="1:13" x14ac:dyDescent="0.2">
      <c r="A23" s="34" t="s">
        <v>55</v>
      </c>
      <c r="B23" s="3" t="str">
        <f>IFERROR(VLOOKUP($A23,#REF!,2,FALSE),"-")</f>
        <v>-</v>
      </c>
      <c r="C23" s="34" t="s">
        <v>74</v>
      </c>
      <c r="D23" s="34">
        <v>9121313755</v>
      </c>
      <c r="E23" s="38" t="s">
        <v>78</v>
      </c>
      <c r="F23" s="4" t="s">
        <v>103</v>
      </c>
      <c r="G23" s="5"/>
      <c r="H23" s="4" t="s">
        <v>78</v>
      </c>
      <c r="I23" s="36" t="s">
        <v>22</v>
      </c>
      <c r="J23" s="17" t="s">
        <v>34</v>
      </c>
      <c r="K23" s="3"/>
      <c r="M23" s="17" t="s">
        <v>35</v>
      </c>
    </row>
    <row r="24" spans="1:13" x14ac:dyDescent="0.2">
      <c r="A24" s="35" t="s">
        <v>56</v>
      </c>
      <c r="B24" s="3" t="str">
        <f>IFERROR(VLOOKUP($A24,#REF!,2,FALSE),"-")</f>
        <v>-</v>
      </c>
      <c r="C24" s="35" t="s">
        <v>75</v>
      </c>
      <c r="D24" s="35">
        <v>9124310993</v>
      </c>
      <c r="E24" s="38" t="s">
        <v>78</v>
      </c>
      <c r="F24" s="4" t="s">
        <v>103</v>
      </c>
      <c r="G24" s="5"/>
      <c r="H24" s="4" t="s">
        <v>78</v>
      </c>
      <c r="I24" s="5" t="s">
        <v>20</v>
      </c>
      <c r="J24" s="17" t="s">
        <v>34</v>
      </c>
      <c r="K24" s="3" t="s">
        <v>121</v>
      </c>
      <c r="M24" s="17" t="s">
        <v>36</v>
      </c>
    </row>
    <row r="25" spans="1:13" x14ac:dyDescent="0.2">
      <c r="A25" s="34" t="s">
        <v>57</v>
      </c>
      <c r="B25" s="3" t="str">
        <f>IFERROR(VLOOKUP($A25,#REF!,2,FALSE),"-")</f>
        <v>-</v>
      </c>
      <c r="C25" s="34" t="s">
        <v>70</v>
      </c>
      <c r="D25" s="34">
        <v>9102318188</v>
      </c>
      <c r="E25" s="38" t="s">
        <v>82</v>
      </c>
      <c r="F25" s="4" t="s">
        <v>77</v>
      </c>
      <c r="G25" s="5"/>
      <c r="H25" s="4" t="s">
        <v>102</v>
      </c>
      <c r="I25" s="37" t="s">
        <v>24</v>
      </c>
      <c r="J25" s="3" t="s">
        <v>34</v>
      </c>
      <c r="K25" s="3" t="s">
        <v>116</v>
      </c>
      <c r="M25" s="17"/>
    </row>
    <row r="26" spans="1:13" x14ac:dyDescent="0.2">
      <c r="A26" s="35" t="s">
        <v>58</v>
      </c>
      <c r="B26" s="3" t="str">
        <f>IFERROR(VLOOKUP($A26,#REF!,2,FALSE),"-")</f>
        <v>-</v>
      </c>
      <c r="C26" s="35" t="s">
        <v>70</v>
      </c>
      <c r="D26" s="35">
        <v>9194603527</v>
      </c>
      <c r="E26" s="38" t="s">
        <v>78</v>
      </c>
      <c r="F26" s="4" t="s">
        <v>87</v>
      </c>
      <c r="G26" s="5"/>
      <c r="H26" s="4" t="s">
        <v>99</v>
      </c>
      <c r="I26" s="5" t="s">
        <v>20</v>
      </c>
      <c r="J26" s="3" t="s">
        <v>34</v>
      </c>
      <c r="K26" s="3" t="s">
        <v>111</v>
      </c>
      <c r="M26" s="17"/>
    </row>
    <row r="27" spans="1:13" x14ac:dyDescent="0.2">
      <c r="A27" s="34" t="s">
        <v>59</v>
      </c>
      <c r="B27" s="3" t="str">
        <f>IFERROR(VLOOKUP($A27,#REF!,2,FALSE),"-")</f>
        <v>-</v>
      </c>
      <c r="C27" s="34" t="s">
        <v>70</v>
      </c>
      <c r="D27" s="34">
        <v>9194309840</v>
      </c>
      <c r="E27" s="38" t="s">
        <v>82</v>
      </c>
      <c r="F27" s="4" t="s">
        <v>87</v>
      </c>
      <c r="G27" s="5"/>
      <c r="H27" s="4" t="s">
        <v>88</v>
      </c>
      <c r="I27" s="37" t="s">
        <v>24</v>
      </c>
      <c r="J27" s="3" t="s">
        <v>34</v>
      </c>
      <c r="K27" s="3" t="s">
        <v>100</v>
      </c>
      <c r="M27" s="17"/>
    </row>
    <row r="28" spans="1:13" x14ac:dyDescent="0.2">
      <c r="A28" s="35" t="s">
        <v>60</v>
      </c>
      <c r="B28" s="3" t="str">
        <f>IFERROR(VLOOKUP($A28,#REF!,2,FALSE),"-")</f>
        <v>-</v>
      </c>
      <c r="C28" s="35" t="s">
        <v>70</v>
      </c>
      <c r="D28" s="35">
        <v>9194315191</v>
      </c>
      <c r="E28" s="38" t="s">
        <v>78</v>
      </c>
      <c r="F28" s="4" t="s">
        <v>78</v>
      </c>
      <c r="G28" s="5"/>
      <c r="H28" s="4" t="s">
        <v>78</v>
      </c>
      <c r="I28" s="5" t="s">
        <v>20</v>
      </c>
      <c r="J28" s="3" t="s">
        <v>34</v>
      </c>
      <c r="K28" s="3" t="s">
        <v>121</v>
      </c>
      <c r="M28" s="17"/>
    </row>
    <row r="29" spans="1:13" x14ac:dyDescent="0.2">
      <c r="A29" s="34" t="s">
        <v>61</v>
      </c>
      <c r="B29" s="3" t="str">
        <f>IFERROR(VLOOKUP($A29,#REF!,2,FALSE),"-")</f>
        <v>-</v>
      </c>
      <c r="C29" s="34" t="s">
        <v>70</v>
      </c>
      <c r="D29" s="34">
        <v>9191315487</v>
      </c>
      <c r="E29" s="38" t="s">
        <v>78</v>
      </c>
      <c r="F29" s="4" t="s">
        <v>86</v>
      </c>
      <c r="G29" s="5"/>
      <c r="H29" s="4" t="s">
        <v>78</v>
      </c>
      <c r="I29" s="44" t="s">
        <v>25</v>
      </c>
      <c r="J29" s="3" t="s">
        <v>34</v>
      </c>
      <c r="K29" s="3" t="s">
        <v>101</v>
      </c>
      <c r="M29" s="17"/>
    </row>
    <row r="30" spans="1:13" x14ac:dyDescent="0.2">
      <c r="A30" s="35" t="s">
        <v>62</v>
      </c>
      <c r="B30" s="3" t="str">
        <f>IFERROR(VLOOKUP($A30,#REF!,2,FALSE),"-")</f>
        <v>-</v>
      </c>
      <c r="C30" s="35" t="s">
        <v>70</v>
      </c>
      <c r="D30" s="35">
        <v>9191310678</v>
      </c>
      <c r="E30" s="38" t="s">
        <v>83</v>
      </c>
      <c r="F30" s="4" t="s">
        <v>77</v>
      </c>
      <c r="G30" s="5"/>
      <c r="H30" s="4" t="s">
        <v>99</v>
      </c>
      <c r="I30" s="37" t="s">
        <v>24</v>
      </c>
      <c r="J30" s="3" t="s">
        <v>34</v>
      </c>
      <c r="K30" s="3" t="s">
        <v>100</v>
      </c>
      <c r="M30" s="17"/>
    </row>
    <row r="31" spans="1:13" x14ac:dyDescent="0.2">
      <c r="A31" s="34" t="s">
        <v>79</v>
      </c>
      <c r="B31" s="3" t="str">
        <f>IFERROR(VLOOKUP($A31,#REF!,2,FALSE),"-")</f>
        <v>-</v>
      </c>
      <c r="C31" s="34" t="s">
        <v>70</v>
      </c>
      <c r="D31" s="34">
        <v>9192181376</v>
      </c>
      <c r="E31" s="38" t="s">
        <v>82</v>
      </c>
      <c r="F31" s="4" t="s">
        <v>77</v>
      </c>
      <c r="G31" s="5"/>
      <c r="H31" s="4" t="s">
        <v>99</v>
      </c>
      <c r="I31" s="37" t="s">
        <v>30</v>
      </c>
      <c r="J31" s="3" t="s">
        <v>34</v>
      </c>
      <c r="K31" s="3" t="s">
        <v>154</v>
      </c>
      <c r="M31" s="16"/>
    </row>
    <row r="32" spans="1:13" x14ac:dyDescent="0.2">
      <c r="A32" s="35" t="s">
        <v>63</v>
      </c>
      <c r="B32" s="3" t="str">
        <f>IFERROR(VLOOKUP($A32,#REF!,2,FALSE),"-")</f>
        <v>-</v>
      </c>
      <c r="C32" s="35" t="s">
        <v>70</v>
      </c>
      <c r="D32" s="35">
        <v>9125318086</v>
      </c>
      <c r="E32" s="38" t="s">
        <v>84</v>
      </c>
      <c r="F32" s="4" t="s">
        <v>77</v>
      </c>
      <c r="G32" s="5"/>
      <c r="H32" s="4" t="s">
        <v>98</v>
      </c>
      <c r="I32" s="37" t="s">
        <v>24</v>
      </c>
      <c r="J32" s="3" t="s">
        <v>34</v>
      </c>
      <c r="K32" s="3" t="s">
        <v>122</v>
      </c>
      <c r="L32" s="10"/>
      <c r="M32" s="16"/>
    </row>
    <row r="33" spans="1:13" x14ac:dyDescent="0.2">
      <c r="A33" s="34" t="s">
        <v>64</v>
      </c>
      <c r="B33" s="3" t="str">
        <f>IFERROR(VLOOKUP($A33,#REF!,2,FALSE),"-")</f>
        <v>-</v>
      </c>
      <c r="C33" s="34" t="s">
        <v>70</v>
      </c>
      <c r="D33" s="34">
        <v>9901091186</v>
      </c>
      <c r="E33" s="38" t="s">
        <v>78</v>
      </c>
      <c r="F33" s="4" t="s">
        <v>87</v>
      </c>
      <c r="G33" s="5"/>
      <c r="H33" s="4" t="s">
        <v>99</v>
      </c>
      <c r="I33" s="5" t="s">
        <v>20</v>
      </c>
      <c r="J33" s="3" t="s">
        <v>34</v>
      </c>
      <c r="K33" s="3" t="s">
        <v>121</v>
      </c>
      <c r="L33" s="10"/>
    </row>
    <row r="34" spans="1:13" x14ac:dyDescent="0.2">
      <c r="A34" s="35" t="s">
        <v>97</v>
      </c>
      <c r="B34" s="3" t="str">
        <f>IFERROR(VLOOKUP($A34,#REF!,2,FALSE),"-")</f>
        <v>-</v>
      </c>
      <c r="C34" s="35" t="s">
        <v>70</v>
      </c>
      <c r="D34" s="35">
        <v>9170005201</v>
      </c>
      <c r="E34" s="38" t="s">
        <v>82</v>
      </c>
      <c r="F34" s="4" t="s">
        <v>87</v>
      </c>
      <c r="G34" s="5"/>
      <c r="H34" s="4" t="s">
        <v>78</v>
      </c>
      <c r="I34" s="5" t="s">
        <v>22</v>
      </c>
      <c r="J34" s="3" t="s">
        <v>34</v>
      </c>
      <c r="K34" s="3" t="s">
        <v>120</v>
      </c>
      <c r="L34" s="10"/>
      <c r="M34" s="29" t="s">
        <v>7</v>
      </c>
    </row>
    <row r="35" spans="1:13" x14ac:dyDescent="0.2">
      <c r="A35" s="34" t="s">
        <v>65</v>
      </c>
      <c r="B35" s="3" t="str">
        <f>IFERROR(VLOOKUP($A35,#REF!,2,FALSE),"-")</f>
        <v>-</v>
      </c>
      <c r="C35" s="34" t="s">
        <v>70</v>
      </c>
      <c r="D35" s="34">
        <v>9128313173</v>
      </c>
      <c r="E35" s="38" t="s">
        <v>81</v>
      </c>
      <c r="F35" s="4" t="s">
        <v>87</v>
      </c>
      <c r="G35" s="5"/>
      <c r="H35" s="4" t="s">
        <v>78</v>
      </c>
      <c r="I35" s="44" t="s">
        <v>25</v>
      </c>
      <c r="J35" s="3" t="s">
        <v>34</v>
      </c>
      <c r="K35" s="3" t="s">
        <v>119</v>
      </c>
      <c r="L35" s="10"/>
      <c r="M35" s="16"/>
    </row>
    <row r="36" spans="1:13" x14ac:dyDescent="0.2">
      <c r="A36" s="35" t="s">
        <v>66</v>
      </c>
      <c r="B36" s="3" t="str">
        <f>IFERROR(VLOOKUP($A36,#REF!,2,FALSE),"-")</f>
        <v>-</v>
      </c>
      <c r="C36" s="35" t="s">
        <v>75</v>
      </c>
      <c r="D36" s="35">
        <v>9123314776</v>
      </c>
      <c r="E36" s="38" t="s">
        <v>83</v>
      </c>
      <c r="F36" s="4" t="s">
        <v>77</v>
      </c>
      <c r="G36" s="5"/>
      <c r="H36" s="4" t="s">
        <v>78</v>
      </c>
      <c r="I36" s="37" t="s">
        <v>24</v>
      </c>
      <c r="J36" s="3" t="s">
        <v>34</v>
      </c>
      <c r="K36" s="3" t="s">
        <v>118</v>
      </c>
      <c r="L36" s="10"/>
      <c r="M36" s="17" t="s">
        <v>20</v>
      </c>
    </row>
    <row r="37" spans="1:13" x14ac:dyDescent="0.2">
      <c r="A37" s="34" t="s">
        <v>67</v>
      </c>
      <c r="B37" s="3" t="str">
        <f>IFERROR(VLOOKUP($A37,#REF!,2,FALSE),"-")</f>
        <v>-</v>
      </c>
      <c r="C37" s="34" t="s">
        <v>70</v>
      </c>
      <c r="D37" s="34">
        <v>9100339708</v>
      </c>
      <c r="E37" s="38" t="s">
        <v>82</v>
      </c>
      <c r="F37" s="4" t="s">
        <v>77</v>
      </c>
      <c r="G37" s="5" t="s">
        <v>99</v>
      </c>
      <c r="H37" s="4" t="s">
        <v>106</v>
      </c>
      <c r="I37" s="37" t="s">
        <v>24</v>
      </c>
      <c r="J37" s="3" t="s">
        <v>34</v>
      </c>
      <c r="K37" s="3" t="s">
        <v>117</v>
      </c>
      <c r="L37" s="10"/>
      <c r="M37" s="17" t="s">
        <v>21</v>
      </c>
    </row>
    <row r="38" spans="1:13" x14ac:dyDescent="0.2">
      <c r="A38" s="35" t="s">
        <v>68</v>
      </c>
      <c r="B38" s="3" t="str">
        <f>IFERROR(VLOOKUP($A38,#REF!,2,FALSE),"-")</f>
        <v>-</v>
      </c>
      <c r="C38" s="35" t="s">
        <v>70</v>
      </c>
      <c r="D38" s="35">
        <v>9123310643</v>
      </c>
      <c r="E38" s="38" t="s">
        <v>80</v>
      </c>
      <c r="F38" s="4" t="s">
        <v>86</v>
      </c>
      <c r="G38" s="4" t="s">
        <v>99</v>
      </c>
      <c r="H38" s="4" t="s">
        <v>107</v>
      </c>
      <c r="I38" s="36" t="s">
        <v>24</v>
      </c>
      <c r="J38" s="3" t="s">
        <v>34</v>
      </c>
      <c r="K38" s="3" t="s">
        <v>116</v>
      </c>
      <c r="L38" s="10"/>
      <c r="M38" s="25" t="s">
        <v>22</v>
      </c>
    </row>
    <row r="39" spans="1:13" x14ac:dyDescent="0.2">
      <c r="A39" s="34" t="s">
        <v>69</v>
      </c>
      <c r="B39" s="3" t="str">
        <f>IFERROR(VLOOKUP($A39,#REF!,2,FALSE),"-")</f>
        <v>-</v>
      </c>
      <c r="C39" s="34" t="s">
        <v>71</v>
      </c>
      <c r="D39" s="34">
        <v>9192318295</v>
      </c>
      <c r="E39" s="38" t="s">
        <v>78</v>
      </c>
      <c r="F39" s="4" t="s">
        <v>87</v>
      </c>
      <c r="G39" s="5"/>
      <c r="H39" s="4" t="s">
        <v>78</v>
      </c>
      <c r="I39" s="44" t="s">
        <v>25</v>
      </c>
      <c r="J39" s="3" t="s">
        <v>34</v>
      </c>
      <c r="K39" s="3" t="s">
        <v>115</v>
      </c>
      <c r="L39" s="10"/>
      <c r="M39" s="25" t="s">
        <v>23</v>
      </c>
    </row>
    <row r="40" spans="1:13" x14ac:dyDescent="0.2">
      <c r="A40" s="34" t="s">
        <v>155</v>
      </c>
      <c r="B40" s="3" t="str">
        <f>IFERROR(VLOOKUP($A40,#REF!,2,FALSE),"-")</f>
        <v>-</v>
      </c>
      <c r="C40" s="35" t="s">
        <v>70</v>
      </c>
      <c r="D40" s="3">
        <v>9113760495</v>
      </c>
      <c r="E40" s="38" t="s">
        <v>93</v>
      </c>
      <c r="F40" s="4" t="s">
        <v>86</v>
      </c>
      <c r="G40" s="4" t="s">
        <v>99</v>
      </c>
      <c r="H40" s="4" t="s">
        <v>89</v>
      </c>
      <c r="I40" s="37" t="s">
        <v>24</v>
      </c>
      <c r="J40" s="3" t="s">
        <v>34</v>
      </c>
      <c r="K40" s="3" t="s">
        <v>114</v>
      </c>
      <c r="M40" s="25" t="s">
        <v>24</v>
      </c>
    </row>
    <row r="41" spans="1:13" x14ac:dyDescent="0.2">
      <c r="A41" s="34" t="s">
        <v>94</v>
      </c>
      <c r="B41" s="3" t="s">
        <v>95</v>
      </c>
      <c r="C41" s="34" t="s">
        <v>71</v>
      </c>
      <c r="D41" s="3">
        <v>9122314221</v>
      </c>
      <c r="E41" s="38" t="s">
        <v>83</v>
      </c>
      <c r="F41" s="4" t="s">
        <v>86</v>
      </c>
      <c r="G41" s="5"/>
      <c r="H41" s="4" t="s">
        <v>99</v>
      </c>
      <c r="I41" s="37" t="s">
        <v>24</v>
      </c>
      <c r="J41" s="3" t="s">
        <v>35</v>
      </c>
      <c r="K41" s="3" t="s">
        <v>113</v>
      </c>
      <c r="M41" s="25" t="s">
        <v>25</v>
      </c>
    </row>
    <row r="42" spans="1:13" x14ac:dyDescent="0.2">
      <c r="A42" s="34" t="s">
        <v>65</v>
      </c>
      <c r="B42" s="3" t="str">
        <f>IFERROR(VLOOKUP($A42,#REF!,2,FALSE),"-")</f>
        <v>-</v>
      </c>
      <c r="C42" s="35" t="s">
        <v>70</v>
      </c>
      <c r="D42" s="3">
        <v>9192315703</v>
      </c>
      <c r="E42" s="38" t="s">
        <v>81</v>
      </c>
      <c r="F42" s="4" t="s">
        <v>86</v>
      </c>
      <c r="G42" s="4" t="s">
        <v>87</v>
      </c>
      <c r="H42" s="4" t="s">
        <v>77</v>
      </c>
      <c r="I42" s="36" t="s">
        <v>24</v>
      </c>
      <c r="J42" s="3" t="s">
        <v>34</v>
      </c>
      <c r="K42" s="3" t="s">
        <v>112</v>
      </c>
      <c r="M42" s="25" t="s">
        <v>26</v>
      </c>
    </row>
    <row r="43" spans="1:13" x14ac:dyDescent="0.2">
      <c r="A43" s="34" t="s">
        <v>108</v>
      </c>
      <c r="B43" s="3" t="str">
        <f>IFERROR(VLOOKUP($A43,#REF!,2,FALSE),"-")</f>
        <v>-</v>
      </c>
      <c r="C43" s="35" t="s">
        <v>70</v>
      </c>
      <c r="D43" s="3">
        <v>9127313065</v>
      </c>
      <c r="E43" s="38"/>
      <c r="F43" s="4" t="s">
        <v>99</v>
      </c>
      <c r="G43" s="5" t="s">
        <v>109</v>
      </c>
      <c r="H43" s="4"/>
      <c r="I43" s="5" t="s">
        <v>23</v>
      </c>
      <c r="J43" s="3" t="s">
        <v>35</v>
      </c>
      <c r="K43" s="3" t="s">
        <v>111</v>
      </c>
      <c r="M43" s="17" t="s">
        <v>27</v>
      </c>
    </row>
    <row r="44" spans="1:13" x14ac:dyDescent="0.2">
      <c r="A44" s="34" t="s">
        <v>110</v>
      </c>
      <c r="B44" s="3" t="str">
        <f>IFERROR(VLOOKUP($A44,#REF!,2,FALSE),"-")</f>
        <v>-</v>
      </c>
      <c r="C44" s="35" t="s">
        <v>70</v>
      </c>
      <c r="D44" s="3">
        <v>9193318571</v>
      </c>
      <c r="E44" s="38" t="s">
        <v>81</v>
      </c>
      <c r="F44" s="4" t="s">
        <v>99</v>
      </c>
      <c r="G44" s="5" t="s">
        <v>88</v>
      </c>
      <c r="H44" s="4" t="s">
        <v>127</v>
      </c>
      <c r="I44" s="5" t="s">
        <v>24</v>
      </c>
      <c r="J44" s="3" t="s">
        <v>35</v>
      </c>
      <c r="K44" s="3" t="s">
        <v>142</v>
      </c>
      <c r="M44" s="17" t="s">
        <v>28</v>
      </c>
    </row>
    <row r="45" spans="1:13" x14ac:dyDescent="0.2">
      <c r="A45" s="34" t="s">
        <v>125</v>
      </c>
      <c r="B45" s="3" t="str">
        <f>IFERROR(VLOOKUP($A45,#REF!,2,FALSE),"-")</f>
        <v>-</v>
      </c>
      <c r="C45" s="35" t="s">
        <v>70</v>
      </c>
      <c r="D45" s="3">
        <v>9194159047</v>
      </c>
      <c r="E45" s="38" t="s">
        <v>81</v>
      </c>
      <c r="F45" s="4" t="s">
        <v>126</v>
      </c>
      <c r="G45" s="5"/>
      <c r="H45" s="4" t="s">
        <v>127</v>
      </c>
      <c r="I45" s="5" t="s">
        <v>24</v>
      </c>
      <c r="J45" s="3" t="s">
        <v>35</v>
      </c>
      <c r="K45" s="3" t="s">
        <v>141</v>
      </c>
      <c r="M45" s="17" t="s">
        <v>29</v>
      </c>
    </row>
    <row r="46" spans="1:13" x14ac:dyDescent="0.2">
      <c r="A46" s="34" t="s">
        <v>128</v>
      </c>
      <c r="B46" s="3" t="str">
        <f>IFERROR(VLOOKUP($A46,#REF!,2,FALSE),"-")</f>
        <v>-</v>
      </c>
      <c r="C46" s="35" t="s">
        <v>70</v>
      </c>
      <c r="D46" s="3">
        <v>9196124303</v>
      </c>
      <c r="E46" s="38" t="s">
        <v>78</v>
      </c>
      <c r="F46" s="4" t="s">
        <v>140</v>
      </c>
      <c r="G46" s="5" t="s">
        <v>144</v>
      </c>
      <c r="H46" s="4" t="s">
        <v>78</v>
      </c>
      <c r="I46" s="5" t="s">
        <v>23</v>
      </c>
      <c r="J46" s="3" t="s">
        <v>34</v>
      </c>
      <c r="K46" s="3" t="s">
        <v>143</v>
      </c>
      <c r="M46" s="17" t="s">
        <v>30</v>
      </c>
    </row>
    <row r="47" spans="1:13" x14ac:dyDescent="0.2">
      <c r="A47" s="34" t="s">
        <v>129</v>
      </c>
      <c r="B47" s="3" t="str">
        <f>IFERROR(VLOOKUP($A47,#REF!,2,FALSE),"-")</f>
        <v>-</v>
      </c>
      <c r="C47" s="35" t="s">
        <v>70</v>
      </c>
      <c r="D47" s="3">
        <v>9194307851</v>
      </c>
      <c r="E47" s="38" t="s">
        <v>81</v>
      </c>
      <c r="F47" s="4" t="s">
        <v>140</v>
      </c>
      <c r="G47" s="5"/>
      <c r="H47" s="4"/>
      <c r="I47" s="5" t="s">
        <v>24</v>
      </c>
      <c r="J47" s="3" t="s">
        <v>34</v>
      </c>
      <c r="K47" s="3" t="s">
        <v>145</v>
      </c>
      <c r="M47" s="17"/>
    </row>
    <row r="48" spans="1:13" x14ac:dyDescent="0.2">
      <c r="A48" s="34" t="s">
        <v>130</v>
      </c>
      <c r="B48" s="3" t="str">
        <f>IFERROR(VLOOKUP($A48,#REF!,2,FALSE),"-")</f>
        <v>-</v>
      </c>
      <c r="C48" s="35" t="s">
        <v>70</v>
      </c>
      <c r="D48" s="3">
        <v>9124025447</v>
      </c>
      <c r="E48" s="38"/>
      <c r="F48" s="4" t="s">
        <v>140</v>
      </c>
      <c r="G48" s="5"/>
      <c r="H48" s="4" t="s">
        <v>78</v>
      </c>
      <c r="I48" s="5" t="s">
        <v>23</v>
      </c>
      <c r="J48" s="3" t="s">
        <v>34</v>
      </c>
      <c r="K48" s="3" t="s">
        <v>151</v>
      </c>
      <c r="M48" s="17"/>
    </row>
    <row r="49" spans="1:11" x14ac:dyDescent="0.2">
      <c r="A49" s="34" t="s">
        <v>131</v>
      </c>
      <c r="B49" s="3" t="str">
        <f>IFERROR(VLOOKUP($A49,#REF!,2,FALSE),"-")</f>
        <v>-</v>
      </c>
      <c r="C49" s="35" t="s">
        <v>70</v>
      </c>
      <c r="D49" s="3">
        <v>9125314796</v>
      </c>
      <c r="E49" s="38" t="s">
        <v>81</v>
      </c>
      <c r="F49" s="4" t="s">
        <v>140</v>
      </c>
      <c r="G49" s="5"/>
      <c r="H49" s="4"/>
      <c r="I49" s="5" t="s">
        <v>24</v>
      </c>
      <c r="J49" s="3" t="s">
        <v>34</v>
      </c>
      <c r="K49" s="3" t="s">
        <v>147</v>
      </c>
    </row>
    <row r="50" spans="1:11" x14ac:dyDescent="0.2">
      <c r="A50" s="34" t="s">
        <v>132</v>
      </c>
      <c r="B50" s="3" t="str">
        <f>IFERROR(VLOOKUP($A50,#REF!,2,FALSE),"-")</f>
        <v>-</v>
      </c>
      <c r="C50" s="35" t="s">
        <v>70</v>
      </c>
      <c r="D50" s="3">
        <v>9125325462</v>
      </c>
      <c r="E50" s="38" t="s">
        <v>82</v>
      </c>
      <c r="F50" s="4" t="s">
        <v>140</v>
      </c>
      <c r="G50" s="5"/>
      <c r="H50" s="4" t="s">
        <v>146</v>
      </c>
      <c r="I50" s="5" t="s">
        <v>24</v>
      </c>
      <c r="J50" s="3" t="s">
        <v>34</v>
      </c>
      <c r="K50" s="3" t="s">
        <v>148</v>
      </c>
    </row>
    <row r="51" spans="1:11" x14ac:dyDescent="0.2">
      <c r="A51" s="34" t="s">
        <v>133</v>
      </c>
      <c r="B51" s="3" t="str">
        <f>IFERROR(VLOOKUP($A51,#REF!,2,FALSE),"-")</f>
        <v>-</v>
      </c>
      <c r="C51" s="35" t="s">
        <v>70</v>
      </c>
      <c r="D51" s="3">
        <v>9191311844</v>
      </c>
      <c r="E51" s="38"/>
      <c r="F51" s="4" t="s">
        <v>140</v>
      </c>
      <c r="G51" s="5"/>
      <c r="H51" s="4" t="s">
        <v>146</v>
      </c>
      <c r="I51" s="5" t="s">
        <v>23</v>
      </c>
      <c r="J51" s="3" t="s">
        <v>34</v>
      </c>
      <c r="K51" s="3" t="s">
        <v>149</v>
      </c>
    </row>
    <row r="52" spans="1:11" x14ac:dyDescent="0.2">
      <c r="A52" s="34" t="s">
        <v>134</v>
      </c>
      <c r="B52" s="3" t="str">
        <f>IFERROR(VLOOKUP($A52,#REF!,2,FALSE),"-")</f>
        <v>-</v>
      </c>
      <c r="C52" s="35" t="s">
        <v>70</v>
      </c>
      <c r="D52" s="3">
        <v>9120812484</v>
      </c>
      <c r="E52" s="38"/>
      <c r="F52" s="4" t="s">
        <v>140</v>
      </c>
      <c r="G52" s="5"/>
      <c r="H52" s="4" t="s">
        <v>146</v>
      </c>
      <c r="I52" s="5" t="s">
        <v>23</v>
      </c>
      <c r="J52" s="3" t="s">
        <v>34</v>
      </c>
      <c r="K52" s="3" t="s">
        <v>143</v>
      </c>
    </row>
    <row r="53" spans="1:11" x14ac:dyDescent="0.2">
      <c r="A53" s="34" t="s">
        <v>135</v>
      </c>
      <c r="B53" s="3" t="str">
        <f>IFERROR(VLOOKUP($A53,#REF!,2,FALSE),"-")</f>
        <v>-</v>
      </c>
      <c r="C53" s="35" t="s">
        <v>70</v>
      </c>
      <c r="D53" s="3">
        <v>9123317632</v>
      </c>
      <c r="E53" s="38"/>
      <c r="F53" s="4" t="s">
        <v>140</v>
      </c>
      <c r="G53" s="5"/>
      <c r="H53" s="4" t="s">
        <v>146</v>
      </c>
      <c r="I53" s="5" t="s">
        <v>23</v>
      </c>
      <c r="J53" s="3" t="s">
        <v>34</v>
      </c>
      <c r="K53" s="3" t="s">
        <v>143</v>
      </c>
    </row>
    <row r="54" spans="1:11" x14ac:dyDescent="0.2">
      <c r="A54" s="34" t="s">
        <v>67</v>
      </c>
      <c r="B54" s="3" t="str">
        <f>IFERROR(VLOOKUP($A54,#REF!,2,FALSE),"-")</f>
        <v>-</v>
      </c>
      <c r="C54" s="35" t="s">
        <v>70</v>
      </c>
      <c r="D54" s="3">
        <v>9123311448</v>
      </c>
      <c r="E54" s="38"/>
      <c r="F54" s="4" t="s">
        <v>140</v>
      </c>
      <c r="G54" s="5"/>
      <c r="H54" s="4" t="s">
        <v>146</v>
      </c>
      <c r="I54" s="5" t="s">
        <v>20</v>
      </c>
      <c r="J54" s="3" t="s">
        <v>34</v>
      </c>
      <c r="K54" s="3" t="s">
        <v>148</v>
      </c>
    </row>
    <row r="55" spans="1:11" x14ac:dyDescent="0.2">
      <c r="A55" s="34" t="s">
        <v>136</v>
      </c>
      <c r="B55" s="3" t="str">
        <f>IFERROR(VLOOKUP($A55,#REF!,2,FALSE),"-")</f>
        <v>-</v>
      </c>
      <c r="C55" s="35" t="s">
        <v>70</v>
      </c>
      <c r="D55" s="3">
        <v>9192315782</v>
      </c>
      <c r="E55" s="38"/>
      <c r="F55" s="4" t="s">
        <v>140</v>
      </c>
      <c r="G55" s="5" t="s">
        <v>140</v>
      </c>
      <c r="H55" s="4"/>
      <c r="I55" s="5" t="s">
        <v>23</v>
      </c>
      <c r="J55" s="3" t="s">
        <v>34</v>
      </c>
      <c r="K55" s="3" t="s">
        <v>150</v>
      </c>
    </row>
    <row r="56" spans="1:11" x14ac:dyDescent="0.2">
      <c r="A56" s="34" t="s">
        <v>56</v>
      </c>
      <c r="B56" s="3" t="str">
        <f>IFERROR(VLOOKUP($A56,#REF!,2,FALSE),"-")</f>
        <v>-</v>
      </c>
      <c r="C56" s="35" t="s">
        <v>70</v>
      </c>
      <c r="D56" s="3">
        <v>9127315302</v>
      </c>
      <c r="E56" s="38"/>
      <c r="F56" s="4" t="s">
        <v>140</v>
      </c>
      <c r="G56" s="5"/>
      <c r="H56" s="4" t="s">
        <v>146</v>
      </c>
      <c r="I56" s="5" t="s">
        <v>20</v>
      </c>
      <c r="J56" s="3" t="s">
        <v>34</v>
      </c>
      <c r="K56" s="3" t="s">
        <v>148</v>
      </c>
    </row>
    <row r="57" spans="1:11" x14ac:dyDescent="0.2">
      <c r="A57" s="34" t="s">
        <v>137</v>
      </c>
      <c r="B57" s="3" t="str">
        <f>IFERROR(VLOOKUP($A57,#REF!,2,FALSE),"-")</f>
        <v>-</v>
      </c>
      <c r="C57" s="35" t="s">
        <v>70</v>
      </c>
      <c r="D57" s="3">
        <v>9125317690</v>
      </c>
      <c r="E57" s="38"/>
      <c r="F57" s="4"/>
      <c r="G57" s="5"/>
      <c r="H57" s="4"/>
      <c r="I57" s="5" t="s">
        <v>22</v>
      </c>
      <c r="J57" s="3" t="s">
        <v>34</v>
      </c>
      <c r="K57" s="3"/>
    </row>
    <row r="58" spans="1:11" x14ac:dyDescent="0.2">
      <c r="A58" s="34" t="s">
        <v>138</v>
      </c>
      <c r="B58" s="3" t="str">
        <f>IFERROR(VLOOKUP($A58,#REF!,2,FALSE),"-")</f>
        <v>-</v>
      </c>
      <c r="C58" s="35" t="s">
        <v>70</v>
      </c>
      <c r="D58" s="3">
        <v>9305296201</v>
      </c>
      <c r="E58" s="38"/>
      <c r="F58" s="4"/>
      <c r="G58" s="5"/>
      <c r="H58" s="4"/>
      <c r="I58" s="5" t="s">
        <v>22</v>
      </c>
      <c r="J58" s="3" t="s">
        <v>34</v>
      </c>
      <c r="K58" s="3"/>
    </row>
    <row r="59" spans="1:11" x14ac:dyDescent="0.2">
      <c r="A59" s="34" t="s">
        <v>139</v>
      </c>
      <c r="B59" s="3" t="str">
        <f>IFERROR(VLOOKUP($A59,#REF!,2,FALSE),"-")</f>
        <v>-</v>
      </c>
      <c r="C59" s="35" t="s">
        <v>70</v>
      </c>
      <c r="D59" s="3">
        <v>9153716499</v>
      </c>
      <c r="E59" s="38"/>
      <c r="F59" s="4"/>
      <c r="G59" s="5"/>
      <c r="H59" s="4"/>
      <c r="I59" s="5" t="s">
        <v>22</v>
      </c>
      <c r="J59" s="3" t="s">
        <v>34</v>
      </c>
      <c r="K59" s="3"/>
    </row>
    <row r="60" spans="1:11" x14ac:dyDescent="0.2">
      <c r="A60" s="34" t="s">
        <v>152</v>
      </c>
      <c r="B60" s="3" t="str">
        <f>IFERROR(VLOOKUP($A60,#REF!,2,FALSE),"-")</f>
        <v>-</v>
      </c>
      <c r="C60" s="3" t="s">
        <v>71</v>
      </c>
      <c r="D60" s="3">
        <v>9125316926</v>
      </c>
      <c r="E60" s="38" t="s">
        <v>81</v>
      </c>
      <c r="F60" s="4" t="s">
        <v>140</v>
      </c>
      <c r="G60" s="5"/>
      <c r="H60" s="4"/>
      <c r="I60" s="37" t="s">
        <v>30</v>
      </c>
      <c r="J60" s="3" t="s">
        <v>34</v>
      </c>
      <c r="K60" s="3" t="s">
        <v>153</v>
      </c>
    </row>
    <row r="61" spans="1:11" x14ac:dyDescent="0.2">
      <c r="E61" s="38"/>
      <c r="F61" s="4"/>
      <c r="G61" s="5"/>
      <c r="H61" s="4"/>
      <c r="I61" s="5"/>
      <c r="J61" s="3"/>
      <c r="K61" s="3"/>
    </row>
    <row r="62" spans="1:11" x14ac:dyDescent="0.2">
      <c r="E62" s="38"/>
      <c r="F62" s="4"/>
      <c r="G62" s="5"/>
      <c r="H62" s="4"/>
      <c r="I62" s="5"/>
      <c r="J62" s="3"/>
      <c r="K62" s="3"/>
    </row>
    <row r="63" spans="1:11" x14ac:dyDescent="0.2">
      <c r="E63" s="38"/>
      <c r="F63" s="4"/>
      <c r="G63" s="5"/>
      <c r="H63" s="4"/>
      <c r="I63" s="5"/>
      <c r="J63" s="3"/>
      <c r="K63" s="3"/>
    </row>
    <row r="64" spans="1:11" x14ac:dyDescent="0.2">
      <c r="E64" s="38"/>
      <c r="F64" s="4"/>
      <c r="G64" s="5"/>
      <c r="H64" s="4"/>
      <c r="I64" s="5"/>
      <c r="J64" s="3"/>
      <c r="K64" s="3"/>
    </row>
    <row r="65" spans="5:11" x14ac:dyDescent="0.2">
      <c r="E65" s="38"/>
      <c r="F65" s="4"/>
      <c r="G65" s="5"/>
      <c r="H65" s="4"/>
      <c r="I65" s="5"/>
      <c r="J65" s="3"/>
      <c r="K65" s="3"/>
    </row>
    <row r="66" spans="5:11" x14ac:dyDescent="0.2">
      <c r="E66" s="38"/>
      <c r="F66" s="4"/>
      <c r="G66" s="5"/>
      <c r="H66" s="4"/>
      <c r="I66" s="5"/>
      <c r="J66" s="3"/>
      <c r="K66" s="3"/>
    </row>
    <row r="67" spans="5:11" x14ac:dyDescent="0.2">
      <c r="E67" s="38"/>
      <c r="F67" s="4"/>
      <c r="G67" s="5"/>
      <c r="H67" s="4"/>
      <c r="I67" s="5"/>
      <c r="J67" s="3"/>
      <c r="K67" s="3"/>
    </row>
    <row r="68" spans="5:11" x14ac:dyDescent="0.2">
      <c r="E68" s="38"/>
      <c r="F68" s="4"/>
      <c r="G68" s="5"/>
      <c r="H68" s="4"/>
      <c r="I68" s="5"/>
      <c r="J68" s="3"/>
      <c r="K68" s="3"/>
    </row>
    <row r="69" spans="5:11" x14ac:dyDescent="0.2">
      <c r="E69" s="38"/>
      <c r="F69" s="4"/>
      <c r="G69" s="5"/>
      <c r="H69" s="4"/>
      <c r="I69" s="5"/>
      <c r="J69" s="3"/>
      <c r="K69" s="3"/>
    </row>
    <row r="70" spans="5:11" x14ac:dyDescent="0.2">
      <c r="E70" s="46"/>
      <c r="F70" s="47"/>
      <c r="G70" s="48"/>
      <c r="H70" s="47"/>
      <c r="I70" s="48"/>
      <c r="J70" s="45"/>
      <c r="K70" s="45"/>
    </row>
    <row r="71" spans="5:11" x14ac:dyDescent="0.2">
      <c r="E71" s="46"/>
      <c r="F71" s="47"/>
      <c r="G71" s="48"/>
      <c r="H71" s="47"/>
      <c r="I71" s="48"/>
      <c r="J71" s="45"/>
      <c r="K71" s="45"/>
    </row>
    <row r="72" spans="5:11" x14ac:dyDescent="0.2">
      <c r="E72" s="46"/>
      <c r="F72" s="47"/>
      <c r="G72" s="48"/>
      <c r="H72" s="47"/>
      <c r="I72" s="48"/>
      <c r="J72" s="45"/>
      <c r="K72" s="45"/>
    </row>
    <row r="73" spans="5:11" x14ac:dyDescent="0.2">
      <c r="E73" s="46"/>
      <c r="F73" s="47"/>
      <c r="G73" s="48"/>
      <c r="H73" s="47"/>
      <c r="I73" s="48"/>
      <c r="J73" s="45"/>
      <c r="K73" s="45"/>
    </row>
    <row r="74" spans="5:11" x14ac:dyDescent="0.2">
      <c r="E74" s="46"/>
      <c r="F74" s="47"/>
      <c r="G74" s="48"/>
      <c r="H74" s="47"/>
      <c r="I74" s="48"/>
      <c r="J74" s="45"/>
      <c r="K74" s="45"/>
    </row>
    <row r="75" spans="5:11" x14ac:dyDescent="0.2">
      <c r="E75" s="46"/>
      <c r="F75" s="47"/>
      <c r="G75" s="48"/>
      <c r="H75" s="47"/>
      <c r="I75" s="48"/>
      <c r="J75" s="45"/>
      <c r="K75" s="45"/>
    </row>
    <row r="76" spans="5:11" x14ac:dyDescent="0.2">
      <c r="E76" s="46"/>
      <c r="F76" s="47"/>
      <c r="G76" s="48"/>
      <c r="H76" s="47"/>
      <c r="I76" s="48"/>
      <c r="J76" s="45"/>
      <c r="K76" s="45"/>
    </row>
    <row r="77" spans="5:11" x14ac:dyDescent="0.2">
      <c r="E77" s="46"/>
      <c r="F77" s="47"/>
      <c r="G77" s="48"/>
      <c r="H77" s="47"/>
      <c r="I77" s="48"/>
      <c r="J77" s="45"/>
      <c r="K77" s="45"/>
    </row>
    <row r="78" spans="5:11" x14ac:dyDescent="0.2">
      <c r="E78" s="46"/>
      <c r="F78" s="47"/>
      <c r="G78" s="48"/>
      <c r="H78" s="47"/>
      <c r="I78" s="48"/>
      <c r="J78" s="45"/>
      <c r="K78" s="45"/>
    </row>
    <row r="79" spans="5:11" x14ac:dyDescent="0.2">
      <c r="E79" s="46"/>
      <c r="F79" s="47"/>
      <c r="G79" s="48"/>
      <c r="H79" s="47"/>
      <c r="I79" s="48"/>
      <c r="J79" s="45"/>
      <c r="K79" s="45"/>
    </row>
    <row r="80" spans="5:11" x14ac:dyDescent="0.2">
      <c r="E80" s="46"/>
      <c r="F80" s="47"/>
      <c r="G80" s="48"/>
      <c r="H80" s="47"/>
      <c r="I80" s="48"/>
      <c r="J80" s="45"/>
      <c r="K80" s="45"/>
    </row>
    <row r="81" spans="5:11" x14ac:dyDescent="0.2">
      <c r="E81" s="46"/>
      <c r="F81" s="47"/>
      <c r="G81" s="48"/>
      <c r="H81" s="47"/>
      <c r="I81" s="48"/>
      <c r="J81" s="45"/>
      <c r="K81" s="45"/>
    </row>
    <row r="82" spans="5:11" x14ac:dyDescent="0.2">
      <c r="E82" s="46"/>
      <c r="F82" s="47"/>
      <c r="G82" s="48"/>
      <c r="H82" s="47"/>
      <c r="I82" s="48"/>
      <c r="J82" s="45"/>
      <c r="K82" s="45"/>
    </row>
    <row r="83" spans="5:11" x14ac:dyDescent="0.2">
      <c r="E83" s="46"/>
      <c r="F83" s="47"/>
      <c r="G83" s="48"/>
      <c r="H83" s="47"/>
      <c r="I83" s="48"/>
      <c r="J83" s="45"/>
      <c r="K83" s="45"/>
    </row>
    <row r="84" spans="5:11" x14ac:dyDescent="0.2">
      <c r="E84" s="46"/>
      <c r="F84" s="47"/>
      <c r="G84" s="48"/>
      <c r="H84" s="47"/>
      <c r="I84" s="48"/>
      <c r="J84" s="45"/>
      <c r="K84" s="45"/>
    </row>
    <row r="85" spans="5:11" x14ac:dyDescent="0.2">
      <c r="E85" s="46"/>
      <c r="F85" s="47"/>
      <c r="G85" s="48"/>
      <c r="H85" s="47"/>
      <c r="I85" s="48"/>
      <c r="J85" s="45"/>
      <c r="K85" s="45"/>
    </row>
    <row r="86" spans="5:11" x14ac:dyDescent="0.2">
      <c r="E86" s="46"/>
      <c r="F86" s="47"/>
      <c r="G86" s="48"/>
      <c r="H86" s="47"/>
      <c r="I86" s="48"/>
      <c r="J86" s="45"/>
      <c r="K86" s="45"/>
    </row>
    <row r="87" spans="5:11" x14ac:dyDescent="0.2">
      <c r="E87" s="46"/>
      <c r="F87" s="47"/>
      <c r="G87" s="48"/>
      <c r="H87" s="47"/>
      <c r="I87" s="48"/>
      <c r="J87" s="45"/>
      <c r="K87" s="45"/>
    </row>
    <row r="88" spans="5:11" x14ac:dyDescent="0.2">
      <c r="E88" s="46"/>
      <c r="F88" s="47"/>
      <c r="G88" s="48"/>
      <c r="H88" s="47"/>
      <c r="I88" s="48"/>
      <c r="J88" s="45"/>
      <c r="K88" s="45"/>
    </row>
    <row r="89" spans="5:11" x14ac:dyDescent="0.2">
      <c r="E89" s="46"/>
      <c r="F89" s="47"/>
      <c r="G89" s="48"/>
      <c r="H89" s="47"/>
      <c r="I89" s="48"/>
      <c r="J89" s="45"/>
      <c r="K89" s="45"/>
    </row>
    <row r="90" spans="5:11" x14ac:dyDescent="0.2">
      <c r="E90" s="46"/>
      <c r="F90" s="47"/>
      <c r="G90" s="48"/>
      <c r="H90" s="47"/>
      <c r="I90" s="48"/>
      <c r="J90" s="45"/>
      <c r="K90" s="45"/>
    </row>
    <row r="91" spans="5:11" x14ac:dyDescent="0.2">
      <c r="E91" s="46"/>
      <c r="F91" s="47"/>
      <c r="G91" s="48"/>
      <c r="H91" s="47"/>
      <c r="I91" s="48"/>
      <c r="J91" s="45"/>
      <c r="K91" s="45"/>
    </row>
    <row r="92" spans="5:11" x14ac:dyDescent="0.2">
      <c r="E92" s="46"/>
      <c r="F92" s="47"/>
      <c r="G92" s="48"/>
      <c r="H92" s="47"/>
      <c r="I92" s="48"/>
      <c r="J92" s="45"/>
      <c r="K92" s="45"/>
    </row>
    <row r="93" spans="5:11" x14ac:dyDescent="0.2">
      <c r="E93" s="46"/>
      <c r="F93" s="47"/>
      <c r="G93" s="48"/>
      <c r="H93" s="47"/>
      <c r="I93" s="48"/>
      <c r="J93" s="45"/>
      <c r="K93" s="45"/>
    </row>
    <row r="94" spans="5:11" x14ac:dyDescent="0.2">
      <c r="E94" s="46"/>
      <c r="F94" s="47"/>
      <c r="G94" s="48"/>
      <c r="H94" s="47"/>
      <c r="I94" s="48"/>
      <c r="J94" s="45"/>
      <c r="K94" s="45"/>
    </row>
    <row r="95" spans="5:11" x14ac:dyDescent="0.2">
      <c r="E95" s="46"/>
      <c r="F95" s="47"/>
      <c r="G95" s="48"/>
      <c r="H95" s="47"/>
      <c r="I95" s="48"/>
      <c r="J95" s="45"/>
      <c r="K95" s="45"/>
    </row>
    <row r="96" spans="5:11" x14ac:dyDescent="0.2">
      <c r="E96" s="46"/>
      <c r="F96" s="47"/>
      <c r="G96" s="48"/>
      <c r="H96" s="47"/>
      <c r="I96" s="48"/>
      <c r="J96" s="45"/>
      <c r="K96" s="45"/>
    </row>
    <row r="97" spans="5:11" x14ac:dyDescent="0.2">
      <c r="E97" s="46"/>
      <c r="F97" s="47"/>
      <c r="G97" s="48"/>
      <c r="H97" s="47"/>
      <c r="I97" s="48"/>
      <c r="J97" s="45"/>
      <c r="K97" s="45"/>
    </row>
    <row r="98" spans="5:11" x14ac:dyDescent="0.2">
      <c r="E98" s="46"/>
      <c r="F98" s="47"/>
      <c r="G98" s="48"/>
      <c r="H98" s="47"/>
      <c r="I98" s="48"/>
      <c r="J98" s="45"/>
      <c r="K98" s="45"/>
    </row>
    <row r="99" spans="5:11" x14ac:dyDescent="0.2">
      <c r="E99" s="46"/>
      <c r="F99" s="47"/>
      <c r="G99" s="48"/>
      <c r="H99" s="47"/>
      <c r="I99" s="48"/>
      <c r="J99" s="45"/>
      <c r="K99" s="45"/>
    </row>
    <row r="100" spans="5:11" x14ac:dyDescent="0.2">
      <c r="E100" s="46"/>
      <c r="F100" s="47"/>
      <c r="G100" s="48"/>
      <c r="H100" s="47"/>
      <c r="I100" s="48"/>
      <c r="J100" s="45"/>
      <c r="K100" s="45"/>
    </row>
    <row r="101" spans="5:11" x14ac:dyDescent="0.2">
      <c r="E101" s="46"/>
      <c r="F101" s="47"/>
      <c r="G101" s="48"/>
      <c r="H101" s="47"/>
      <c r="I101" s="48"/>
      <c r="J101" s="45"/>
      <c r="K101" s="45"/>
    </row>
    <row r="102" spans="5:11" x14ac:dyDescent="0.2">
      <c r="E102" s="46"/>
      <c r="F102" s="47"/>
      <c r="G102" s="48"/>
      <c r="H102" s="47"/>
      <c r="I102" s="48"/>
      <c r="J102" s="45"/>
      <c r="K102" s="45"/>
    </row>
    <row r="103" spans="5:11" x14ac:dyDescent="0.2">
      <c r="E103" s="46"/>
      <c r="F103" s="47"/>
      <c r="G103" s="48"/>
      <c r="H103" s="47"/>
      <c r="I103" s="48"/>
      <c r="J103" s="45"/>
      <c r="K103" s="45"/>
    </row>
    <row r="104" spans="5:11" x14ac:dyDescent="0.2">
      <c r="E104" s="46"/>
      <c r="F104" s="47"/>
      <c r="G104" s="48"/>
      <c r="H104" s="47"/>
      <c r="I104" s="48"/>
      <c r="J104" s="45"/>
      <c r="K104" s="45"/>
    </row>
    <row r="105" spans="5:11" x14ac:dyDescent="0.2">
      <c r="E105" s="46"/>
      <c r="F105" s="47"/>
      <c r="G105" s="48"/>
      <c r="H105" s="47"/>
      <c r="I105" s="48"/>
      <c r="J105" s="45"/>
      <c r="K105" s="45"/>
    </row>
    <row r="106" spans="5:11" x14ac:dyDescent="0.2">
      <c r="E106" s="46"/>
      <c r="F106" s="47"/>
      <c r="G106" s="48"/>
      <c r="H106" s="47"/>
      <c r="I106" s="48"/>
      <c r="J106" s="45"/>
      <c r="K106" s="45"/>
    </row>
    <row r="107" spans="5:11" x14ac:dyDescent="0.2">
      <c r="E107" s="46"/>
      <c r="F107" s="47"/>
      <c r="G107" s="48"/>
      <c r="H107" s="47"/>
      <c r="I107" s="48"/>
      <c r="J107" s="45"/>
      <c r="K107" s="45"/>
    </row>
    <row r="108" spans="5:11" x14ac:dyDescent="0.2">
      <c r="E108" s="46"/>
      <c r="F108" s="47"/>
      <c r="G108" s="48"/>
      <c r="H108" s="47"/>
      <c r="I108" s="48"/>
      <c r="J108" s="45"/>
      <c r="K108" s="45"/>
    </row>
    <row r="109" spans="5:11" x14ac:dyDescent="0.2">
      <c r="E109" s="46"/>
      <c r="F109" s="47"/>
      <c r="G109" s="48"/>
      <c r="H109" s="47"/>
      <c r="I109" s="48"/>
      <c r="J109" s="45"/>
      <c r="K109" s="45"/>
    </row>
    <row r="110" spans="5:11" x14ac:dyDescent="0.2">
      <c r="E110" s="46"/>
      <c r="F110" s="47"/>
      <c r="G110" s="48"/>
      <c r="H110" s="47"/>
      <c r="I110" s="48"/>
      <c r="J110" s="45"/>
      <c r="K110" s="45"/>
    </row>
    <row r="111" spans="5:11" x14ac:dyDescent="0.2">
      <c r="E111" s="46"/>
      <c r="F111" s="47"/>
      <c r="G111" s="48"/>
      <c r="H111" s="47"/>
      <c r="I111" s="48"/>
      <c r="J111" s="45"/>
      <c r="K111" s="45"/>
    </row>
  </sheetData>
  <mergeCells count="1">
    <mergeCell ref="A3:K3"/>
  </mergeCells>
  <phoneticPr fontId="2" type="noConversion"/>
  <conditionalFormatting sqref="H40:H69">
    <cfRule type="expression" dxfId="48" priority="32" stopIfTrue="1">
      <formula>(H40-TODAY())&gt;=days_until_next_1</formula>
    </cfRule>
    <cfRule type="expression" dxfId="47" priority="33" stopIfTrue="1">
      <formula>(H40-TODAY())&gt;=days_until_next_2</formula>
    </cfRule>
    <cfRule type="expression" dxfId="46" priority="34" stopIfTrue="1">
      <formula>NOT(ISBLANK(H40))</formula>
    </cfRule>
  </conditionalFormatting>
  <conditionalFormatting sqref="F5:F111">
    <cfRule type="expression" dxfId="45" priority="35" stopIfTrue="1">
      <formula>AND(NOT(ISBLANK(F5)),(TODAY()-F5)&lt;=days_since_last_1)</formula>
    </cfRule>
    <cfRule type="expression" dxfId="44" priority="36" stopIfTrue="1">
      <formula>(TODAY()-F5)&lt;=days_since_last_2</formula>
    </cfRule>
    <cfRule type="expression" dxfId="43" priority="37" stopIfTrue="1">
      <formula>NOT(ISBLANK(F5))</formula>
    </cfRule>
  </conditionalFormatting>
  <conditionalFormatting sqref="H5:H39">
    <cfRule type="expression" dxfId="42" priority="26" stopIfTrue="1">
      <formula>AND(NOT(ISBLANK(H5)),(TODAY()-H5)&lt;=days_since_last_1)</formula>
    </cfRule>
    <cfRule type="expression" dxfId="41" priority="27" stopIfTrue="1">
      <formula>(TODAY()-H5)&lt;=days_since_last_2</formula>
    </cfRule>
    <cfRule type="expression" dxfId="40" priority="28" stopIfTrue="1">
      <formula>NOT(ISBLANK(H5))</formula>
    </cfRule>
  </conditionalFormatting>
  <conditionalFormatting sqref="K5:K24 B5:I24 B25:K60 E61:K69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0">
    <cfRule type="expression" dxfId="39" priority="22" stopIfTrue="1">
      <formula>AND(NOT(ISBLANK(G40)),(TODAY()-G40)&lt;=days_since_last_1)</formula>
    </cfRule>
    <cfRule type="expression" dxfId="38" priority="23" stopIfTrue="1">
      <formula>(TODAY()-G40)&lt;=days_since_last_2</formula>
    </cfRule>
    <cfRule type="expression" dxfId="37" priority="24" stopIfTrue="1">
      <formula>NOT(ISBLANK(G40))</formula>
    </cfRule>
  </conditionalFormatting>
  <conditionalFormatting sqref="H40:H42">
    <cfRule type="expression" dxfId="36" priority="19" stopIfTrue="1">
      <formula>AND(NOT(ISBLANK(H40)),(TODAY()-H40)&lt;=days_since_last_1)</formula>
    </cfRule>
    <cfRule type="expression" dxfId="35" priority="20" stopIfTrue="1">
      <formula>(TODAY()-H40)&lt;=days_since_last_2</formula>
    </cfRule>
    <cfRule type="expression" dxfId="34" priority="21" stopIfTrue="1">
      <formula>NOT(ISBLANK(H40))</formula>
    </cfRule>
  </conditionalFormatting>
  <conditionalFormatting sqref="G42">
    <cfRule type="expression" dxfId="33" priority="16" stopIfTrue="1">
      <formula>AND(NOT(ISBLANK(G42)),(TODAY()-G42)&lt;=days_since_last_1)</formula>
    </cfRule>
    <cfRule type="expression" dxfId="32" priority="17" stopIfTrue="1">
      <formula>(TODAY()-G42)&lt;=days_since_last_2</formula>
    </cfRule>
    <cfRule type="expression" dxfId="31" priority="18" stopIfTrue="1">
      <formula>NOT(ISBLANK(G42))</formula>
    </cfRule>
  </conditionalFormatting>
  <conditionalFormatting sqref="G14">
    <cfRule type="expression" dxfId="30" priority="13" stopIfTrue="1">
      <formula>AND(NOT(ISBLANK(G14)),(TODAY()-G14)&lt;=days_since_last_1)</formula>
    </cfRule>
    <cfRule type="expression" dxfId="29" priority="14" stopIfTrue="1">
      <formula>(TODAY()-G14)&lt;=days_since_last_2</formula>
    </cfRule>
    <cfRule type="expression" dxfId="28" priority="15" stopIfTrue="1">
      <formula>NOT(ISBLANK(G14))</formula>
    </cfRule>
  </conditionalFormatting>
  <conditionalFormatting sqref="G38">
    <cfRule type="expression" dxfId="27" priority="10" stopIfTrue="1">
      <formula>AND(NOT(ISBLANK(G38)),(TODAY()-G38)&lt;=days_since_last_1)</formula>
    </cfRule>
    <cfRule type="expression" dxfId="26" priority="11" stopIfTrue="1">
      <formula>(TODAY()-G38)&lt;=days_since_last_2</formula>
    </cfRule>
    <cfRule type="expression" dxfId="25" priority="12" stopIfTrue="1">
      <formula>NOT(ISBLANK(G38))</formula>
    </cfRule>
  </conditionalFormatting>
  <conditionalFormatting sqref="G40">
    <cfRule type="expression" dxfId="24" priority="7" stopIfTrue="1">
      <formula>(G40-TODAY())&gt;=days_until_next_1</formula>
    </cfRule>
    <cfRule type="expression" dxfId="23" priority="8" stopIfTrue="1">
      <formula>(G40-TODAY())&gt;=days_until_next_2</formula>
    </cfRule>
    <cfRule type="expression" dxfId="22" priority="9" stopIfTrue="1">
      <formula>NOT(ISBLANK(G40))</formula>
    </cfRule>
  </conditionalFormatting>
  <conditionalFormatting sqref="G40">
    <cfRule type="expression" dxfId="21" priority="4" stopIfTrue="1">
      <formula>AND(NOT(ISBLANK(G40)),(TODAY()-G40)&lt;=days_since_last_1)</formula>
    </cfRule>
    <cfRule type="expression" dxfId="20" priority="5" stopIfTrue="1">
      <formula>(TODAY()-G40)&lt;=days_since_last_2</formula>
    </cfRule>
    <cfRule type="expression" dxfId="19" priority="6" stopIfTrue="1">
      <formula>NOT(ISBLANK(G40))</formula>
    </cfRule>
  </conditionalFormatting>
  <conditionalFormatting sqref="F46">
    <cfRule type="expression" dxfId="18" priority="1" stopIfTrue="1">
      <formula>(F46-TODAY())&gt;=days_until_next_1</formula>
    </cfRule>
    <cfRule type="expression" dxfId="17" priority="2" stopIfTrue="1">
      <formula>(F46-TODAY())&gt;=days_until_next_2</formula>
    </cfRule>
    <cfRule type="expression" dxfId="16" priority="3" stopIfTrue="1">
      <formula>NOT(ISBLANK(F46))</formula>
    </cfRule>
  </conditionalFormatting>
  <dataValidations count="4">
    <dataValidation type="list" allowBlank="1" showInputMessage="1" showErrorMessage="1" sqref="J25:J69">
      <formula1>lead_source</formula1>
    </dataValidation>
    <dataValidation type="list" allowBlank="1" showInputMessage="1" showErrorMessage="1" sqref="I5:I111">
      <formula1>lead_status</formula1>
    </dataValidation>
    <dataValidation type="list" allowBlank="1" sqref="A5:A19">
      <formula1>#REF!</formula1>
    </dataValidation>
    <dataValidation allowBlank="1" promptTitle="Choose Column Headings" prompt="When this cell is selected, a 2nd down arrow should appear to the right.  Click on this arrow to customize the heading or simply type in your own heading." sqref="A4:K4 M6 M18 M34"/>
  </dataValidations>
  <printOptions horizontalCentered="1"/>
  <pageMargins left="0.5" right="0.5" top="0.5" bottom="0.5" header="0.25" footer="0.25"/>
  <pageSetup scale="56" fitToHeight="0" orientation="landscape" r:id="rId1"/>
  <headerFooter scaleWithDoc="0">
    <oddHeader>&amp;R&amp;8Page &amp;P of &amp;N</oddHeader>
    <oddFooter>&amp;R&amp;8Page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9" operator="equal" id="{D4776E47-2F1D-4DDF-923A-D432E7A907A3}">
            <xm:f>تنظیمات!$A$8</xm:f>
            <x14:dxf>
              <fill>
                <patternFill>
                  <bgColor rgb="FFFF9999"/>
                </patternFill>
              </fill>
            </x14:dxf>
          </x14:cfRule>
          <x14:cfRule type="cellIs" priority="30" operator="equal" id="{FAD5C94B-F56F-4990-BB96-EF6DC01DF6FA}">
            <xm:f>تنظیمات!$A$7</xm:f>
            <x14:dxf>
              <fill>
                <patternFill>
                  <bgColor rgb="FFFFCC99"/>
                </patternFill>
              </fill>
            </x14:dxf>
          </x14:cfRule>
          <x14:cfRule type="cellIs" priority="31" operator="equal" id="{941F4C7F-734D-4C97-BC89-0EFBA66B8627}">
            <xm:f>تنظیمات!$A$6</xm:f>
            <x14:dxf>
              <fill>
                <patternFill>
                  <bgColor rgb="FF66CCFF"/>
                </patternFill>
              </fill>
            </x14:dxf>
          </x14:cfRule>
          <xm:sqref>I5:I111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showGridLines="0" topLeftCell="C1" workbookViewId="0">
      <selection activeCell="E11" sqref="E11"/>
    </sheetView>
  </sheetViews>
  <sheetFormatPr defaultColWidth="9.140625" defaultRowHeight="12.75" x14ac:dyDescent="0.2"/>
  <cols>
    <col min="1" max="1" width="17" style="1" customWidth="1"/>
    <col min="2" max="2" width="6.140625" style="1" customWidth="1"/>
    <col min="3" max="3" width="17.140625" style="1" customWidth="1"/>
    <col min="4" max="4" width="9.140625" style="1"/>
    <col min="5" max="5" width="26" style="1" customWidth="1"/>
    <col min="6" max="6" width="9.140625" style="1"/>
    <col min="7" max="7" width="24.28515625" style="1" customWidth="1"/>
    <col min="8" max="16384" width="9.140625" style="1"/>
  </cols>
  <sheetData>
    <row r="1" spans="1:16" ht="19.5" customHeight="1" x14ac:dyDescent="0.2">
      <c r="A1" s="29" t="s">
        <v>7</v>
      </c>
      <c r="B1" s="14"/>
      <c r="C1" s="29" t="s">
        <v>6</v>
      </c>
      <c r="D1" s="14"/>
      <c r="E1" s="30" t="s">
        <v>13</v>
      </c>
      <c r="F1" s="14"/>
      <c r="G1" s="31"/>
      <c r="H1" s="32"/>
      <c r="I1" s="32"/>
      <c r="J1" s="32"/>
      <c r="K1" s="32"/>
      <c r="L1" s="32" t="s">
        <v>19</v>
      </c>
      <c r="M1" s="15"/>
      <c r="N1" s="15"/>
      <c r="O1" s="15"/>
      <c r="P1" s="15"/>
    </row>
    <row r="2" spans="1:16" x14ac:dyDescent="0.2">
      <c r="A2" s="16"/>
      <c r="B2" s="14"/>
      <c r="C2" s="17"/>
      <c r="D2" s="14"/>
      <c r="E2" s="18" t="s">
        <v>86</v>
      </c>
      <c r="F2" s="14"/>
      <c r="G2" s="19" t="s">
        <v>16</v>
      </c>
      <c r="H2" s="20"/>
      <c r="I2" s="20"/>
      <c r="J2" s="20"/>
      <c r="K2" s="20"/>
      <c r="L2" s="20"/>
      <c r="M2" s="21"/>
      <c r="N2" s="22"/>
      <c r="O2" s="22"/>
      <c r="P2" s="22"/>
    </row>
    <row r="3" spans="1:16" x14ac:dyDescent="0.2">
      <c r="A3" s="17" t="s">
        <v>20</v>
      </c>
      <c r="B3" s="14"/>
      <c r="C3" s="17" t="s">
        <v>32</v>
      </c>
      <c r="D3" s="14"/>
      <c r="E3" s="23" t="s">
        <v>15</v>
      </c>
      <c r="F3" s="14"/>
      <c r="G3" s="20" t="s">
        <v>17</v>
      </c>
      <c r="H3" s="20"/>
      <c r="I3" s="20"/>
      <c r="J3" s="20"/>
      <c r="K3" s="20"/>
      <c r="L3" s="20"/>
      <c r="M3" s="21"/>
      <c r="N3" s="22"/>
      <c r="O3" s="22"/>
      <c r="P3" s="22"/>
    </row>
    <row r="4" spans="1:16" x14ac:dyDescent="0.2">
      <c r="A4" s="17" t="s">
        <v>21</v>
      </c>
      <c r="B4" s="14"/>
      <c r="C4" s="17" t="s">
        <v>33</v>
      </c>
      <c r="D4" s="14"/>
      <c r="E4" s="24">
        <v>1</v>
      </c>
      <c r="F4" s="14"/>
      <c r="G4" s="20" t="s">
        <v>18</v>
      </c>
      <c r="H4" s="20"/>
      <c r="I4" s="20"/>
      <c r="J4" s="20"/>
      <c r="K4" s="20"/>
      <c r="L4" s="20"/>
      <c r="M4" s="21"/>
      <c r="N4" s="22"/>
      <c r="O4" s="22"/>
      <c r="P4" s="22"/>
    </row>
    <row r="5" spans="1:16" x14ac:dyDescent="0.2">
      <c r="A5" s="25" t="s">
        <v>22</v>
      </c>
      <c r="B5" s="14"/>
      <c r="C5" s="17" t="s">
        <v>34</v>
      </c>
      <c r="D5" s="14"/>
      <c r="E5" s="26">
        <v>6</v>
      </c>
      <c r="F5" s="14"/>
      <c r="G5" s="19"/>
      <c r="H5" s="20"/>
      <c r="I5" s="20"/>
      <c r="J5" s="20"/>
      <c r="K5" s="20"/>
      <c r="L5" s="20"/>
      <c r="M5" s="21"/>
      <c r="N5" s="22"/>
      <c r="O5" s="22"/>
      <c r="P5" s="22"/>
    </row>
    <row r="6" spans="1:16" x14ac:dyDescent="0.2">
      <c r="A6" s="25" t="s">
        <v>23</v>
      </c>
      <c r="B6" s="14"/>
      <c r="C6" s="17" t="s">
        <v>35</v>
      </c>
      <c r="D6" s="14"/>
      <c r="E6" s="27" t="str">
        <f>"&gt; "&amp;days_since_last_2</f>
        <v>&gt; 6</v>
      </c>
      <c r="F6" s="14"/>
      <c r="G6" s="19"/>
      <c r="H6" s="20"/>
      <c r="I6" s="20"/>
      <c r="J6" s="20"/>
      <c r="K6" s="20"/>
      <c r="L6" s="20"/>
      <c r="M6" s="21"/>
      <c r="N6" s="22"/>
      <c r="O6" s="22"/>
      <c r="P6" s="22"/>
    </row>
    <row r="7" spans="1:16" x14ac:dyDescent="0.2">
      <c r="A7" s="25" t="s">
        <v>24</v>
      </c>
      <c r="B7" s="14"/>
      <c r="C7" s="17" t="s">
        <v>36</v>
      </c>
      <c r="D7" s="14"/>
      <c r="E7" s="14"/>
      <c r="F7" s="14"/>
      <c r="G7" s="11"/>
      <c r="H7" s="28"/>
      <c r="I7" s="28"/>
      <c r="J7" s="28"/>
      <c r="K7" s="28"/>
      <c r="L7" s="28"/>
      <c r="M7" s="10"/>
    </row>
    <row r="8" spans="1:16" x14ac:dyDescent="0.2">
      <c r="A8" s="25" t="s">
        <v>25</v>
      </c>
      <c r="B8" s="14"/>
      <c r="C8" s="17"/>
      <c r="D8" s="14"/>
      <c r="E8" s="23" t="s">
        <v>14</v>
      </c>
      <c r="F8" s="14"/>
      <c r="G8" s="11"/>
      <c r="H8" s="28"/>
      <c r="I8" s="28"/>
      <c r="J8" s="28"/>
      <c r="K8" s="28"/>
      <c r="L8" s="28"/>
      <c r="M8" s="10"/>
    </row>
    <row r="9" spans="1:16" x14ac:dyDescent="0.2">
      <c r="A9" s="25" t="s">
        <v>26</v>
      </c>
      <c r="B9" s="14"/>
      <c r="C9" s="17"/>
      <c r="D9" s="14"/>
      <c r="E9" s="24">
        <v>7</v>
      </c>
      <c r="F9" s="14"/>
      <c r="G9" s="11"/>
      <c r="H9" s="28"/>
      <c r="I9" s="28"/>
      <c r="J9" s="28"/>
      <c r="K9" s="28"/>
      <c r="L9" s="28"/>
      <c r="M9" s="10"/>
    </row>
    <row r="10" spans="1:16" x14ac:dyDescent="0.2">
      <c r="A10" s="17" t="s">
        <v>27</v>
      </c>
      <c r="B10" s="14"/>
      <c r="C10" s="17"/>
      <c r="D10" s="14"/>
      <c r="E10" s="26">
        <v>4</v>
      </c>
      <c r="F10" s="14"/>
      <c r="G10" s="11"/>
      <c r="H10" s="28"/>
      <c r="I10" s="28"/>
      <c r="J10" s="28"/>
      <c r="K10" s="28"/>
      <c r="L10" s="28"/>
      <c r="M10" s="10"/>
    </row>
    <row r="11" spans="1:16" x14ac:dyDescent="0.2">
      <c r="A11" s="17" t="s">
        <v>28</v>
      </c>
      <c r="B11" s="14"/>
      <c r="C11" s="17"/>
      <c r="D11" s="14"/>
      <c r="E11" s="27" t="str">
        <f>"&lt; "&amp;days_until_next_2</f>
        <v>&lt; 4</v>
      </c>
      <c r="F11" s="14"/>
      <c r="G11" s="11"/>
      <c r="H11" s="28"/>
      <c r="I11" s="28"/>
      <c r="J11" s="28"/>
      <c r="K11" s="28"/>
      <c r="L11" s="28"/>
      <c r="M11" s="10"/>
    </row>
    <row r="12" spans="1:16" x14ac:dyDescent="0.2">
      <c r="A12" s="17" t="s">
        <v>29</v>
      </c>
      <c r="B12" s="14"/>
      <c r="C12" s="17"/>
      <c r="D12" s="14"/>
      <c r="E12" s="14"/>
      <c r="F12" s="14"/>
      <c r="G12" s="14"/>
      <c r="H12" s="14"/>
      <c r="I12" s="14"/>
      <c r="J12" s="14"/>
      <c r="K12" s="14"/>
      <c r="L12" s="14"/>
    </row>
    <row r="13" spans="1:16" x14ac:dyDescent="0.2">
      <c r="A13" s="17" t="s">
        <v>30</v>
      </c>
      <c r="B13" s="14"/>
      <c r="C13" s="17"/>
      <c r="D13" s="14"/>
      <c r="E13" s="14"/>
      <c r="F13" s="14"/>
      <c r="G13" s="14"/>
      <c r="H13" s="14"/>
      <c r="I13" s="14"/>
      <c r="J13" s="14"/>
      <c r="K13" s="14"/>
      <c r="L13" s="14"/>
    </row>
    <row r="14" spans="1:16" x14ac:dyDescent="0.2">
      <c r="A14" s="17"/>
      <c r="B14" s="14"/>
      <c r="C14" s="16"/>
      <c r="D14" s="14"/>
      <c r="E14" s="14"/>
      <c r="F14" s="14"/>
      <c r="G14" s="14"/>
      <c r="H14" s="14"/>
      <c r="I14" s="14"/>
      <c r="J14" s="14"/>
      <c r="K14" s="14"/>
      <c r="L14" s="14"/>
    </row>
    <row r="15" spans="1:16" x14ac:dyDescent="0.2">
      <c r="A15" s="17"/>
      <c r="B15" s="14"/>
      <c r="C15" s="16"/>
      <c r="D15" s="14"/>
      <c r="E15" s="14"/>
      <c r="F15" s="14"/>
      <c r="G15" s="14"/>
      <c r="H15" s="14"/>
      <c r="I15" s="14"/>
      <c r="J15" s="14"/>
      <c r="K15" s="14"/>
      <c r="L15" s="14"/>
    </row>
    <row r="16" spans="1:16" x14ac:dyDescent="0.2">
      <c r="A16" s="8"/>
    </row>
    <row r="17" spans="1:1" x14ac:dyDescent="0.2">
      <c r="A17" s="8"/>
    </row>
  </sheetData>
  <phoneticPr fontId="4" type="noConversion"/>
  <dataValidations count="1">
    <dataValidation allowBlank="1" promptTitle="Choose Column Headings" prompt="When this cell is selected, a 2nd down arrow should appear to the right.  Click on this arrow to customize the heading or simply type in your own heading." sqref="E1 C1 A1"/>
  </dataValidation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18</vt:i4>
      </vt:variant>
    </vt:vector>
  </HeadingPairs>
  <TitlesOfParts>
    <vt:vector size="23" baseType="lpstr">
      <vt:lpstr>گرمسار</vt:lpstr>
      <vt:lpstr>خمین</vt:lpstr>
      <vt:lpstr>ورامین</vt:lpstr>
      <vt:lpstr>CRM(سمنان)</vt:lpstr>
      <vt:lpstr>تنظیمات</vt:lpstr>
      <vt:lpstr>خمین!Customers</vt:lpstr>
      <vt:lpstr>گرمسار!Customers</vt:lpstr>
      <vt:lpstr>ورامین!Customers</vt:lpstr>
      <vt:lpstr>Customers</vt:lpstr>
      <vt:lpstr>days_since_last_1</vt:lpstr>
      <vt:lpstr>days_since_last_2</vt:lpstr>
      <vt:lpstr>days_since_last_3</vt:lpstr>
      <vt:lpstr>days_until_next_1</vt:lpstr>
      <vt:lpstr>days_until_next_2</vt:lpstr>
      <vt:lpstr>days_until_next_3</vt:lpstr>
      <vt:lpstr>'CRM(سمنان)'!Print_Area</vt:lpstr>
      <vt:lpstr>خمین!Print_Area</vt:lpstr>
      <vt:lpstr>گرمسار!Print_Area</vt:lpstr>
      <vt:lpstr>ورامین!Print_Area</vt:lpstr>
      <vt:lpstr>'CRM(سمنان)'!Print_Titles</vt:lpstr>
      <vt:lpstr>خمین!Print_Titles</vt:lpstr>
      <vt:lpstr>گرمسار!Print_Titles</vt:lpstr>
      <vt:lpstr>ورامین!Print_Titles</vt:lpstr>
    </vt:vector>
  </TitlesOfParts>
  <Company>Vertex42 LLC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CRM Template</dc:title>
  <dc:creator>Vertex42.com</dc:creator>
  <dc:description>(c) 2013-2020 Vertex42 LLC. All Rights Reserved.</dc:description>
  <cp:lastModifiedBy>فروش 3 فروش 3</cp:lastModifiedBy>
  <cp:lastPrinted>2015-03-24T18:39:47Z</cp:lastPrinted>
  <dcterms:created xsi:type="dcterms:W3CDTF">2007-12-24T15:22:31Z</dcterms:created>
  <dcterms:modified xsi:type="dcterms:W3CDTF">2026-02-17T11:20:38Z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2013-2020 Vertex42 LLC</vt:lpwstr>
  </property>
  <property fmtid="{D5CDD505-2E9C-101B-9397-08002B2CF9AE}" pid="3" name="Version">
    <vt:lpwstr>1.2.0</vt:lpwstr>
  </property>
</Properties>
</file>